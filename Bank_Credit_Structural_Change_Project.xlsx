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shp jain\Downloads\"/>
    </mc:Choice>
  </mc:AlternateContent>
  <bookViews>
    <workbookView xWindow="0" yWindow="0" windowWidth="19200" windowHeight="7190" tabRatio="500" firstSheet="3" activeTab="6"/>
  </bookViews>
  <sheets>
    <sheet name="Stationarity ADF" sheetId="4" r:id="rId1"/>
    <sheet name="Raw Data" sheetId="2" r:id="rId2"/>
    <sheet name="Growth Analysis" sheetId="3" r:id="rId3"/>
    <sheet name="Chow Test" sheetId="5" r:id="rId4"/>
    <sheet name="Breakpoint Scan" sheetId="6" r:id="rId5"/>
    <sheet name="Sector Composition" sheetId="7" r:id="rId6"/>
    <sheet name="Summary" sheetId="1" r:id="rId7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4" i="7" l="1"/>
  <c r="E94" i="7"/>
  <c r="D94" i="7"/>
  <c r="C94" i="7"/>
  <c r="F93" i="7"/>
  <c r="E93" i="7"/>
  <c r="D93" i="7"/>
  <c r="C93" i="7"/>
  <c r="F92" i="7"/>
  <c r="E92" i="7"/>
  <c r="D92" i="7"/>
  <c r="C92" i="7"/>
  <c r="F91" i="7"/>
  <c r="E91" i="7"/>
  <c r="D91" i="7"/>
  <c r="C91" i="7"/>
  <c r="F90" i="7"/>
  <c r="E90" i="7"/>
  <c r="D90" i="7"/>
  <c r="C90" i="7"/>
  <c r="F89" i="7"/>
  <c r="E89" i="7"/>
  <c r="D89" i="7"/>
  <c r="C89" i="7"/>
  <c r="F88" i="7"/>
  <c r="E88" i="7"/>
  <c r="D88" i="7"/>
  <c r="C88" i="7"/>
  <c r="F87" i="7"/>
  <c r="E87" i="7"/>
  <c r="D87" i="7"/>
  <c r="C87" i="7"/>
  <c r="F86" i="7"/>
  <c r="E86" i="7"/>
  <c r="D86" i="7"/>
  <c r="C86" i="7"/>
  <c r="F85" i="7"/>
  <c r="E85" i="7"/>
  <c r="D85" i="7"/>
  <c r="C98" i="7" s="1"/>
  <c r="C18" i="1" s="1"/>
  <c r="C85" i="7"/>
  <c r="F84" i="7"/>
  <c r="E84" i="7"/>
  <c r="D84" i="7"/>
  <c r="C84" i="7"/>
  <c r="F83" i="7"/>
  <c r="C100" i="7" s="1"/>
  <c r="E83" i="7"/>
  <c r="C99" i="7" s="1"/>
  <c r="D83" i="7"/>
  <c r="C83" i="7"/>
  <c r="F82" i="7"/>
  <c r="E82" i="7"/>
  <c r="D82" i="7"/>
  <c r="C82" i="7"/>
  <c r="F81" i="7"/>
  <c r="E81" i="7"/>
  <c r="D81" i="7"/>
  <c r="C81" i="7"/>
  <c r="F80" i="7"/>
  <c r="E80" i="7"/>
  <c r="D80" i="7"/>
  <c r="C80" i="7"/>
  <c r="F79" i="7"/>
  <c r="E79" i="7"/>
  <c r="D79" i="7"/>
  <c r="C79" i="7"/>
  <c r="F78" i="7"/>
  <c r="E78" i="7"/>
  <c r="D78" i="7"/>
  <c r="C78" i="7"/>
  <c r="F77" i="7"/>
  <c r="E77" i="7"/>
  <c r="D77" i="7"/>
  <c r="C77" i="7"/>
  <c r="F76" i="7"/>
  <c r="E76" i="7"/>
  <c r="D76" i="7"/>
  <c r="C76" i="7"/>
  <c r="F75" i="7"/>
  <c r="E75" i="7"/>
  <c r="D75" i="7"/>
  <c r="C75" i="7"/>
  <c r="F74" i="7"/>
  <c r="E74" i="7"/>
  <c r="D74" i="7"/>
  <c r="C74" i="7"/>
  <c r="F73" i="7"/>
  <c r="E73" i="7"/>
  <c r="D73" i="7"/>
  <c r="C73" i="7"/>
  <c r="F72" i="7"/>
  <c r="E72" i="7"/>
  <c r="D72" i="7"/>
  <c r="C72" i="7"/>
  <c r="F71" i="7"/>
  <c r="E71" i="7"/>
  <c r="D71" i="7"/>
  <c r="C71" i="7"/>
  <c r="F70" i="7"/>
  <c r="E70" i="7"/>
  <c r="D70" i="7"/>
  <c r="C70" i="7"/>
  <c r="F69" i="7"/>
  <c r="E69" i="7"/>
  <c r="D69" i="7"/>
  <c r="C69" i="7"/>
  <c r="F68" i="7"/>
  <c r="E68" i="7"/>
  <c r="D68" i="7"/>
  <c r="C68" i="7"/>
  <c r="F67" i="7"/>
  <c r="E67" i="7"/>
  <c r="D67" i="7"/>
  <c r="C67" i="7"/>
  <c r="F66" i="7"/>
  <c r="E66" i="7"/>
  <c r="D66" i="7"/>
  <c r="C66" i="7"/>
  <c r="F65" i="7"/>
  <c r="E65" i="7"/>
  <c r="D65" i="7"/>
  <c r="C65" i="7"/>
  <c r="F64" i="7"/>
  <c r="E64" i="7"/>
  <c r="D64" i="7"/>
  <c r="C64" i="7"/>
  <c r="F63" i="7"/>
  <c r="E63" i="7"/>
  <c r="D63" i="7"/>
  <c r="C63" i="7"/>
  <c r="F62" i="7"/>
  <c r="E62" i="7"/>
  <c r="D62" i="7"/>
  <c r="C62" i="7"/>
  <c r="F61" i="7"/>
  <c r="E61" i="7"/>
  <c r="D61" i="7"/>
  <c r="C61" i="7"/>
  <c r="F60" i="7"/>
  <c r="E60" i="7"/>
  <c r="D60" i="7"/>
  <c r="C60" i="7"/>
  <c r="F59" i="7"/>
  <c r="E59" i="7"/>
  <c r="D59" i="7"/>
  <c r="C59" i="7"/>
  <c r="F58" i="7"/>
  <c r="E58" i="7"/>
  <c r="D58" i="7"/>
  <c r="C58" i="7"/>
  <c r="F57" i="7"/>
  <c r="E57" i="7"/>
  <c r="D57" i="7"/>
  <c r="C57" i="7"/>
  <c r="F56" i="7"/>
  <c r="E56" i="7"/>
  <c r="D56" i="7"/>
  <c r="C56" i="7"/>
  <c r="F55" i="7"/>
  <c r="E55" i="7"/>
  <c r="D55" i="7"/>
  <c r="C55" i="7"/>
  <c r="F54" i="7"/>
  <c r="E54" i="7"/>
  <c r="D54" i="7"/>
  <c r="C54" i="7"/>
  <c r="F53" i="7"/>
  <c r="E53" i="7"/>
  <c r="D53" i="7"/>
  <c r="C53" i="7"/>
  <c r="F52" i="7"/>
  <c r="E52" i="7"/>
  <c r="D52" i="7"/>
  <c r="C52" i="7"/>
  <c r="F51" i="7"/>
  <c r="E51" i="7"/>
  <c r="D51" i="7"/>
  <c r="C51" i="7"/>
  <c r="F50" i="7"/>
  <c r="E50" i="7"/>
  <c r="D50" i="7"/>
  <c r="C50" i="7"/>
  <c r="F49" i="7"/>
  <c r="E49" i="7"/>
  <c r="D49" i="7"/>
  <c r="C49" i="7"/>
  <c r="F48" i="7"/>
  <c r="E48" i="7"/>
  <c r="D48" i="7"/>
  <c r="C48" i="7"/>
  <c r="F47" i="7"/>
  <c r="E47" i="7"/>
  <c r="D47" i="7"/>
  <c r="C47" i="7"/>
  <c r="F46" i="7"/>
  <c r="E46" i="7"/>
  <c r="D46" i="7"/>
  <c r="C46" i="7"/>
  <c r="F45" i="7"/>
  <c r="E45" i="7"/>
  <c r="D45" i="7"/>
  <c r="C45" i="7"/>
  <c r="F44" i="7"/>
  <c r="E44" i="7"/>
  <c r="D44" i="7"/>
  <c r="C44" i="7"/>
  <c r="F43" i="7"/>
  <c r="E43" i="7"/>
  <c r="D43" i="7"/>
  <c r="C43" i="7"/>
  <c r="F42" i="7"/>
  <c r="E42" i="7"/>
  <c r="D42" i="7"/>
  <c r="C42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F37" i="7"/>
  <c r="E37" i="7"/>
  <c r="D37" i="7"/>
  <c r="C37" i="7"/>
  <c r="F36" i="7"/>
  <c r="E36" i="7"/>
  <c r="D36" i="7"/>
  <c r="C36" i="7"/>
  <c r="F35" i="7"/>
  <c r="E35" i="7"/>
  <c r="D35" i="7"/>
  <c r="C35" i="7"/>
  <c r="F34" i="7"/>
  <c r="E34" i="7"/>
  <c r="D34" i="7"/>
  <c r="C34" i="7"/>
  <c r="F33" i="7"/>
  <c r="E33" i="7"/>
  <c r="D33" i="7"/>
  <c r="C33" i="7"/>
  <c r="F32" i="7"/>
  <c r="E32" i="7"/>
  <c r="D32" i="7"/>
  <c r="C32" i="7"/>
  <c r="F31" i="7"/>
  <c r="E31" i="7"/>
  <c r="D31" i="7"/>
  <c r="C31" i="7"/>
  <c r="F30" i="7"/>
  <c r="E30" i="7"/>
  <c r="D30" i="7"/>
  <c r="C30" i="7"/>
  <c r="F29" i="7"/>
  <c r="E29" i="7"/>
  <c r="D29" i="7"/>
  <c r="C29" i="7"/>
  <c r="F28" i="7"/>
  <c r="E28" i="7"/>
  <c r="D28" i="7"/>
  <c r="C28" i="7"/>
  <c r="F27" i="7"/>
  <c r="E27" i="7"/>
  <c r="D27" i="7"/>
  <c r="C27" i="7"/>
  <c r="F26" i="7"/>
  <c r="E26" i="7"/>
  <c r="D26" i="7"/>
  <c r="C26" i="7"/>
  <c r="F25" i="7"/>
  <c r="E25" i="7"/>
  <c r="D25" i="7"/>
  <c r="C25" i="7"/>
  <c r="F24" i="7"/>
  <c r="E24" i="7"/>
  <c r="D24" i="7"/>
  <c r="C24" i="7"/>
  <c r="F23" i="7"/>
  <c r="E23" i="7"/>
  <c r="D23" i="7"/>
  <c r="C23" i="7"/>
  <c r="F22" i="7"/>
  <c r="E22" i="7"/>
  <c r="D22" i="7"/>
  <c r="C22" i="7"/>
  <c r="F21" i="7"/>
  <c r="E21" i="7"/>
  <c r="D21" i="7"/>
  <c r="C21" i="7"/>
  <c r="F20" i="7"/>
  <c r="E20" i="7"/>
  <c r="D20" i="7"/>
  <c r="C20" i="7"/>
  <c r="F19" i="7"/>
  <c r="E19" i="7"/>
  <c r="D19" i="7"/>
  <c r="C19" i="7"/>
  <c r="F18" i="7"/>
  <c r="E18" i="7"/>
  <c r="D18" i="7"/>
  <c r="C18" i="7"/>
  <c r="F17" i="7"/>
  <c r="E17" i="7"/>
  <c r="D17" i="7"/>
  <c r="C17" i="7"/>
  <c r="F16" i="7"/>
  <c r="E16" i="7"/>
  <c r="D16" i="7"/>
  <c r="C16" i="7"/>
  <c r="F15" i="7"/>
  <c r="E15" i="7"/>
  <c r="D15" i="7"/>
  <c r="C15" i="7"/>
  <c r="F14" i="7"/>
  <c r="E14" i="7"/>
  <c r="D14" i="7"/>
  <c r="C14" i="7"/>
  <c r="F13" i="7"/>
  <c r="E13" i="7"/>
  <c r="D13" i="7"/>
  <c r="C13" i="7"/>
  <c r="F12" i="7"/>
  <c r="E12" i="7"/>
  <c r="D12" i="7"/>
  <c r="C12" i="7"/>
  <c r="F11" i="7"/>
  <c r="E11" i="7"/>
  <c r="D11" i="7"/>
  <c r="C11" i="7"/>
  <c r="F10" i="7"/>
  <c r="E10" i="7"/>
  <c r="D10" i="7"/>
  <c r="C10" i="7"/>
  <c r="F9" i="7"/>
  <c r="E9" i="7"/>
  <c r="D9" i="7"/>
  <c r="C9" i="7"/>
  <c r="F8" i="7"/>
  <c r="E8" i="7"/>
  <c r="D8" i="7"/>
  <c r="C8" i="7"/>
  <c r="F7" i="7"/>
  <c r="B100" i="7" s="1"/>
  <c r="B20" i="1" s="1"/>
  <c r="E7" i="7"/>
  <c r="D7" i="7"/>
  <c r="C7" i="7"/>
  <c r="F6" i="7"/>
  <c r="E6" i="7"/>
  <c r="D6" i="7"/>
  <c r="C6" i="7"/>
  <c r="B97" i="7" s="1"/>
  <c r="F5" i="7"/>
  <c r="E5" i="7"/>
  <c r="D5" i="7"/>
  <c r="C5" i="7"/>
  <c r="B9" i="6"/>
  <c r="E94" i="4"/>
  <c r="A94" i="4"/>
  <c r="B92" i="4"/>
  <c r="C93" i="4" s="1"/>
  <c r="D93" i="4" s="1"/>
  <c r="A90" i="4"/>
  <c r="A88" i="4"/>
  <c r="B74" i="4"/>
  <c r="A66" i="4"/>
  <c r="A57" i="4"/>
  <c r="A54" i="4"/>
  <c r="A50" i="4"/>
  <c r="A38" i="4"/>
  <c r="A30" i="4"/>
  <c r="A25" i="4"/>
  <c r="A22" i="4"/>
  <c r="D94" i="3"/>
  <c r="B95" i="4" s="1"/>
  <c r="C94" i="3"/>
  <c r="B94" i="3"/>
  <c r="B94" i="7" s="1"/>
  <c r="A94" i="3"/>
  <c r="A94" i="7" s="1"/>
  <c r="D93" i="3"/>
  <c r="C93" i="3"/>
  <c r="B93" i="3"/>
  <c r="B93" i="7" s="1"/>
  <c r="A93" i="3"/>
  <c r="A93" i="7" s="1"/>
  <c r="E92" i="3"/>
  <c r="C92" i="3"/>
  <c r="D92" i="3" s="1"/>
  <c r="B93" i="4" s="1"/>
  <c r="C94" i="4" s="1"/>
  <c r="B92" i="3"/>
  <c r="B92" i="7" s="1"/>
  <c r="A92" i="3"/>
  <c r="A92" i="7" s="1"/>
  <c r="D91" i="3"/>
  <c r="C91" i="3"/>
  <c r="B91" i="3"/>
  <c r="B91" i="7" s="1"/>
  <c r="A91" i="3"/>
  <c r="D90" i="3"/>
  <c r="E91" i="3" s="1"/>
  <c r="C90" i="3"/>
  <c r="B90" i="3"/>
  <c r="B90" i="7" s="1"/>
  <c r="A90" i="3"/>
  <c r="A90" i="7" s="1"/>
  <c r="E89" i="3"/>
  <c r="C89" i="3"/>
  <c r="D89" i="3" s="1"/>
  <c r="B90" i="4" s="1"/>
  <c r="B89" i="3"/>
  <c r="B89" i="7" s="1"/>
  <c r="A89" i="3"/>
  <c r="A89" i="7" s="1"/>
  <c r="D88" i="3"/>
  <c r="B89" i="4" s="1"/>
  <c r="C88" i="3"/>
  <c r="B88" i="3"/>
  <c r="B88" i="7" s="1"/>
  <c r="A88" i="3"/>
  <c r="A88" i="7" s="1"/>
  <c r="C87" i="3"/>
  <c r="D87" i="3" s="1"/>
  <c r="B87" i="3"/>
  <c r="B87" i="7" s="1"/>
  <c r="A87" i="3"/>
  <c r="A87" i="7" s="1"/>
  <c r="C86" i="3"/>
  <c r="D86" i="3" s="1"/>
  <c r="B86" i="3"/>
  <c r="B86" i="7" s="1"/>
  <c r="A86" i="3"/>
  <c r="A86" i="7" s="1"/>
  <c r="C85" i="3"/>
  <c r="D85" i="3" s="1"/>
  <c r="E85" i="3" s="1"/>
  <c r="B85" i="3"/>
  <c r="B85" i="7" s="1"/>
  <c r="A85" i="3"/>
  <c r="C84" i="3"/>
  <c r="D84" i="3" s="1"/>
  <c r="B84" i="3"/>
  <c r="B84" i="7" s="1"/>
  <c r="A84" i="3"/>
  <c r="C83" i="3"/>
  <c r="D83" i="3" s="1"/>
  <c r="B84" i="4" s="1"/>
  <c r="B83" i="3"/>
  <c r="B83" i="7" s="1"/>
  <c r="A83" i="3"/>
  <c r="C82" i="3"/>
  <c r="D82" i="3" s="1"/>
  <c r="B82" i="3"/>
  <c r="B82" i="7" s="1"/>
  <c r="A82" i="3"/>
  <c r="D81" i="3"/>
  <c r="C81" i="3"/>
  <c r="B81" i="3"/>
  <c r="B81" i="7" s="1"/>
  <c r="A81" i="3"/>
  <c r="F80" i="3"/>
  <c r="C80" i="3"/>
  <c r="D80" i="3" s="1"/>
  <c r="B80" i="3"/>
  <c r="B80" i="7" s="1"/>
  <c r="A80" i="3"/>
  <c r="D79" i="3"/>
  <c r="C79" i="3"/>
  <c r="B79" i="3"/>
  <c r="B79" i="7" s="1"/>
  <c r="A79" i="3"/>
  <c r="C78" i="3"/>
  <c r="D78" i="3" s="1"/>
  <c r="B78" i="3"/>
  <c r="B78" i="7" s="1"/>
  <c r="A78" i="3"/>
  <c r="C77" i="3"/>
  <c r="D77" i="3" s="1"/>
  <c r="B77" i="3"/>
  <c r="B77" i="7" s="1"/>
  <c r="A77" i="3"/>
  <c r="C76" i="3"/>
  <c r="D76" i="3" s="1"/>
  <c r="B76" i="3"/>
  <c r="B76" i="7" s="1"/>
  <c r="A76" i="3"/>
  <c r="C75" i="3"/>
  <c r="D75" i="3" s="1"/>
  <c r="B75" i="3"/>
  <c r="B75" i="7" s="1"/>
  <c r="A75" i="3"/>
  <c r="C74" i="3"/>
  <c r="D74" i="3" s="1"/>
  <c r="B74" i="3"/>
  <c r="B74" i="7" s="1"/>
  <c r="A74" i="3"/>
  <c r="F73" i="3"/>
  <c r="D73" i="3"/>
  <c r="C73" i="3"/>
  <c r="B73" i="3"/>
  <c r="B73" i="7" s="1"/>
  <c r="A73" i="3"/>
  <c r="F72" i="3"/>
  <c r="C72" i="3"/>
  <c r="D72" i="3" s="1"/>
  <c r="B72" i="3"/>
  <c r="B72" i="7" s="1"/>
  <c r="A72" i="3"/>
  <c r="D71" i="3"/>
  <c r="C71" i="3"/>
  <c r="B71" i="3"/>
  <c r="B71" i="7" s="1"/>
  <c r="A71" i="3"/>
  <c r="C70" i="3"/>
  <c r="D70" i="3" s="1"/>
  <c r="B70" i="3"/>
  <c r="B70" i="7" s="1"/>
  <c r="A70" i="3"/>
  <c r="C69" i="3"/>
  <c r="D69" i="3" s="1"/>
  <c r="F81" i="3" s="1"/>
  <c r="B69" i="3"/>
  <c r="B69" i="7" s="1"/>
  <c r="A69" i="3"/>
  <c r="C68" i="3"/>
  <c r="D68" i="3" s="1"/>
  <c r="B68" i="3"/>
  <c r="B68" i="7" s="1"/>
  <c r="A68" i="3"/>
  <c r="C67" i="3"/>
  <c r="D67" i="3" s="1"/>
  <c r="B67" i="3"/>
  <c r="B67" i="7" s="1"/>
  <c r="A67" i="3"/>
  <c r="C66" i="3"/>
  <c r="D66" i="3" s="1"/>
  <c r="B66" i="3"/>
  <c r="B66" i="7" s="1"/>
  <c r="A66" i="3"/>
  <c r="F65" i="3"/>
  <c r="D65" i="3"/>
  <c r="C65" i="3"/>
  <c r="B65" i="3"/>
  <c r="B65" i="7" s="1"/>
  <c r="A65" i="3"/>
  <c r="C64" i="3"/>
  <c r="D64" i="3" s="1"/>
  <c r="E64" i="3" s="1"/>
  <c r="B64" i="3"/>
  <c r="B64" i="7" s="1"/>
  <c r="A64" i="3"/>
  <c r="D63" i="3"/>
  <c r="B64" i="4" s="1"/>
  <c r="C63" i="3"/>
  <c r="B63" i="3"/>
  <c r="B63" i="7" s="1"/>
  <c r="A63" i="3"/>
  <c r="C62" i="3"/>
  <c r="D62" i="3" s="1"/>
  <c r="B62" i="3"/>
  <c r="B62" i="7" s="1"/>
  <c r="A62" i="3"/>
  <c r="C61" i="3"/>
  <c r="D61" i="3" s="1"/>
  <c r="B61" i="3"/>
  <c r="B61" i="7" s="1"/>
  <c r="A61" i="3"/>
  <c r="C60" i="3"/>
  <c r="D60" i="3" s="1"/>
  <c r="B60" i="3"/>
  <c r="B60" i="7" s="1"/>
  <c r="A60" i="3"/>
  <c r="C59" i="3"/>
  <c r="D59" i="3" s="1"/>
  <c r="B59" i="3"/>
  <c r="B59" i="7" s="1"/>
  <c r="A59" i="3"/>
  <c r="C58" i="3"/>
  <c r="D58" i="3" s="1"/>
  <c r="B58" i="3"/>
  <c r="B58" i="7" s="1"/>
  <c r="A58" i="3"/>
  <c r="F57" i="3"/>
  <c r="D57" i="3"/>
  <c r="C57" i="3"/>
  <c r="B57" i="3"/>
  <c r="B57" i="7" s="1"/>
  <c r="A57" i="3"/>
  <c r="C56" i="3"/>
  <c r="D56" i="3" s="1"/>
  <c r="F56" i="3" s="1"/>
  <c r="B56" i="3"/>
  <c r="B56" i="7" s="1"/>
  <c r="A56" i="3"/>
  <c r="D55" i="3"/>
  <c r="C55" i="3"/>
  <c r="B55" i="3"/>
  <c r="B55" i="7" s="1"/>
  <c r="A55" i="3"/>
  <c r="C54" i="3"/>
  <c r="D54" i="3" s="1"/>
  <c r="B54" i="3"/>
  <c r="B54" i="7" s="1"/>
  <c r="A54" i="3"/>
  <c r="C53" i="3"/>
  <c r="D53" i="3" s="1"/>
  <c r="B53" i="3"/>
  <c r="B53" i="7" s="1"/>
  <c r="A53" i="3"/>
  <c r="C52" i="3"/>
  <c r="D52" i="3" s="1"/>
  <c r="B52" i="3"/>
  <c r="B52" i="7" s="1"/>
  <c r="A52" i="3"/>
  <c r="C51" i="3"/>
  <c r="D51" i="3" s="1"/>
  <c r="B51" i="3"/>
  <c r="B51" i="7" s="1"/>
  <c r="A51" i="3"/>
  <c r="C50" i="3"/>
  <c r="D50" i="3" s="1"/>
  <c r="B50" i="3"/>
  <c r="B50" i="7" s="1"/>
  <c r="A50" i="3"/>
  <c r="F49" i="3"/>
  <c r="D49" i="3"/>
  <c r="C49" i="3"/>
  <c r="B49" i="3"/>
  <c r="B49" i="7" s="1"/>
  <c r="A49" i="3"/>
  <c r="C48" i="3"/>
  <c r="D48" i="3" s="1"/>
  <c r="E48" i="3" s="1"/>
  <c r="B48" i="3"/>
  <c r="B48" i="7" s="1"/>
  <c r="A48" i="3"/>
  <c r="D47" i="3"/>
  <c r="C47" i="3"/>
  <c r="B47" i="3"/>
  <c r="B47" i="7" s="1"/>
  <c r="A47" i="3"/>
  <c r="D46" i="3"/>
  <c r="E47" i="3" s="1"/>
  <c r="C46" i="3"/>
  <c r="B46" i="3"/>
  <c r="B46" i="7" s="1"/>
  <c r="A46" i="3"/>
  <c r="C45" i="3"/>
  <c r="D45" i="3" s="1"/>
  <c r="B45" i="3"/>
  <c r="B45" i="7" s="1"/>
  <c r="A45" i="3"/>
  <c r="C44" i="3"/>
  <c r="D44" i="3" s="1"/>
  <c r="B44" i="3"/>
  <c r="B44" i="7" s="1"/>
  <c r="A44" i="3"/>
  <c r="C43" i="3"/>
  <c r="D43" i="3" s="1"/>
  <c r="B43" i="3"/>
  <c r="B43" i="7" s="1"/>
  <c r="A43" i="3"/>
  <c r="C42" i="3"/>
  <c r="D42" i="3" s="1"/>
  <c r="B42" i="3"/>
  <c r="B42" i="7" s="1"/>
  <c r="A42" i="3"/>
  <c r="D41" i="3"/>
  <c r="C41" i="3"/>
  <c r="B41" i="3"/>
  <c r="B41" i="7" s="1"/>
  <c r="A41" i="3"/>
  <c r="F40" i="3"/>
  <c r="E40" i="3"/>
  <c r="C40" i="3"/>
  <c r="D40" i="3" s="1"/>
  <c r="B40" i="3"/>
  <c r="B40" i="7" s="1"/>
  <c r="A40" i="3"/>
  <c r="D39" i="3"/>
  <c r="C39" i="3"/>
  <c r="B39" i="3"/>
  <c r="B39" i="7" s="1"/>
  <c r="A39" i="3"/>
  <c r="C38" i="3"/>
  <c r="D38" i="3" s="1"/>
  <c r="B38" i="3"/>
  <c r="B38" i="7" s="1"/>
  <c r="A38" i="3"/>
  <c r="C37" i="3"/>
  <c r="D37" i="3" s="1"/>
  <c r="B37" i="3"/>
  <c r="B37" i="7" s="1"/>
  <c r="A37" i="3"/>
  <c r="C36" i="3"/>
  <c r="D36" i="3" s="1"/>
  <c r="B36" i="3"/>
  <c r="B36" i="7" s="1"/>
  <c r="A36" i="3"/>
  <c r="C35" i="3"/>
  <c r="D35" i="3" s="1"/>
  <c r="B35" i="3"/>
  <c r="B35" i="7" s="1"/>
  <c r="A35" i="3"/>
  <c r="C34" i="3"/>
  <c r="D34" i="3" s="1"/>
  <c r="B34" i="3"/>
  <c r="B34" i="7" s="1"/>
  <c r="A34" i="3"/>
  <c r="D33" i="3"/>
  <c r="C33" i="3"/>
  <c r="B33" i="3"/>
  <c r="B33" i="7" s="1"/>
  <c r="A33" i="3"/>
  <c r="F32" i="3"/>
  <c r="C32" i="3"/>
  <c r="D32" i="3" s="1"/>
  <c r="B32" i="3"/>
  <c r="B32" i="7" s="1"/>
  <c r="A32" i="3"/>
  <c r="D31" i="3"/>
  <c r="C31" i="3"/>
  <c r="B31" i="3"/>
  <c r="B31" i="7" s="1"/>
  <c r="A31" i="3"/>
  <c r="C30" i="3"/>
  <c r="D30" i="3" s="1"/>
  <c r="B30" i="3"/>
  <c r="B30" i="7" s="1"/>
  <c r="A30" i="3"/>
  <c r="C29" i="3"/>
  <c r="D29" i="3" s="1"/>
  <c r="B29" i="3"/>
  <c r="B29" i="7" s="1"/>
  <c r="A29" i="3"/>
  <c r="C28" i="3"/>
  <c r="D28" i="3" s="1"/>
  <c r="B28" i="3"/>
  <c r="B28" i="7" s="1"/>
  <c r="A28" i="3"/>
  <c r="C27" i="3"/>
  <c r="D27" i="3" s="1"/>
  <c r="B27" i="3"/>
  <c r="B27" i="7" s="1"/>
  <c r="A27" i="3"/>
  <c r="C26" i="3"/>
  <c r="D26" i="3" s="1"/>
  <c r="B26" i="3"/>
  <c r="B26" i="7" s="1"/>
  <c r="A26" i="3"/>
  <c r="D25" i="3"/>
  <c r="C25" i="3"/>
  <c r="B25" i="3"/>
  <c r="B25" i="7" s="1"/>
  <c r="A25" i="3"/>
  <c r="C24" i="3"/>
  <c r="D24" i="3" s="1"/>
  <c r="B24" i="3"/>
  <c r="B24" i="7" s="1"/>
  <c r="A24" i="3"/>
  <c r="D23" i="3"/>
  <c r="C23" i="3"/>
  <c r="B23" i="3"/>
  <c r="B23" i="7" s="1"/>
  <c r="A23" i="3"/>
  <c r="D22" i="3"/>
  <c r="C22" i="3"/>
  <c r="B22" i="3"/>
  <c r="B22" i="7" s="1"/>
  <c r="A22" i="3"/>
  <c r="C21" i="3"/>
  <c r="D21" i="3" s="1"/>
  <c r="B21" i="3"/>
  <c r="B21" i="7" s="1"/>
  <c r="A21" i="3"/>
  <c r="C20" i="3"/>
  <c r="D20" i="3" s="1"/>
  <c r="B20" i="3"/>
  <c r="B20" i="7" s="1"/>
  <c r="A20" i="3"/>
  <c r="C19" i="3"/>
  <c r="D19" i="3" s="1"/>
  <c r="B19" i="3"/>
  <c r="B19" i="7" s="1"/>
  <c r="A19" i="3"/>
  <c r="C18" i="3"/>
  <c r="D18" i="3" s="1"/>
  <c r="B18" i="3"/>
  <c r="B18" i="7" s="1"/>
  <c r="A18" i="3"/>
  <c r="A18" i="7" s="1"/>
  <c r="D17" i="3"/>
  <c r="B18" i="4" s="1"/>
  <c r="C19" i="4" s="1"/>
  <c r="C17" i="3"/>
  <c r="B17" i="3"/>
  <c r="B17" i="7" s="1"/>
  <c r="A17" i="3"/>
  <c r="C16" i="3"/>
  <c r="D16" i="3" s="1"/>
  <c r="B16" i="3"/>
  <c r="B16" i="7" s="1"/>
  <c r="A16" i="3"/>
  <c r="C15" i="3"/>
  <c r="D15" i="3" s="1"/>
  <c r="B15" i="3"/>
  <c r="B15" i="7" s="1"/>
  <c r="A15" i="3"/>
  <c r="C14" i="3"/>
  <c r="D14" i="3" s="1"/>
  <c r="B15" i="4" s="1"/>
  <c r="B14" i="3"/>
  <c r="B14" i="7" s="1"/>
  <c r="A14" i="3"/>
  <c r="C13" i="3"/>
  <c r="D13" i="3" s="1"/>
  <c r="B13" i="3"/>
  <c r="B13" i="7" s="1"/>
  <c r="A13" i="3"/>
  <c r="C12" i="3"/>
  <c r="D12" i="3" s="1"/>
  <c r="B12" i="3"/>
  <c r="B12" i="7" s="1"/>
  <c r="A12" i="3"/>
  <c r="D11" i="3"/>
  <c r="B12" i="4" s="1"/>
  <c r="C11" i="3"/>
  <c r="B11" i="3"/>
  <c r="B11" i="7" s="1"/>
  <c r="A11" i="3"/>
  <c r="C10" i="3"/>
  <c r="D10" i="3" s="1"/>
  <c r="B10" i="3"/>
  <c r="B10" i="7" s="1"/>
  <c r="A10" i="3"/>
  <c r="D9" i="3"/>
  <c r="B10" i="4" s="1"/>
  <c r="C9" i="3"/>
  <c r="B9" i="3"/>
  <c r="B9" i="7" s="1"/>
  <c r="A9" i="3"/>
  <c r="C8" i="3"/>
  <c r="D8" i="3" s="1"/>
  <c r="B8" i="3"/>
  <c r="B8" i="7" s="1"/>
  <c r="A8" i="3"/>
  <c r="C7" i="3"/>
  <c r="D7" i="3" s="1"/>
  <c r="B7" i="3"/>
  <c r="B7" i="7" s="1"/>
  <c r="A7" i="3"/>
  <c r="C6" i="3"/>
  <c r="D6" i="3" s="1"/>
  <c r="B7" i="4" s="1"/>
  <c r="B6" i="3"/>
  <c r="B6" i="7" s="1"/>
  <c r="A6" i="3"/>
  <c r="C5" i="3"/>
  <c r="D5" i="3" s="1"/>
  <c r="F17" i="3" s="1"/>
  <c r="B5" i="3"/>
  <c r="B5" i="7" s="1"/>
  <c r="A5" i="3"/>
  <c r="C20" i="1"/>
  <c r="C19" i="1"/>
  <c r="B17" i="1"/>
  <c r="B9" i="4" l="1"/>
  <c r="E8" i="3"/>
  <c r="D17" i="6"/>
  <c r="B31" i="4"/>
  <c r="F30" i="3"/>
  <c r="E30" i="3"/>
  <c r="D57" i="6"/>
  <c r="B71" i="4"/>
  <c r="F70" i="3"/>
  <c r="E70" i="3"/>
  <c r="E71" i="3"/>
  <c r="D25" i="6"/>
  <c r="B39" i="4"/>
  <c r="F38" i="3"/>
  <c r="E38" i="3"/>
  <c r="D65" i="6"/>
  <c r="B79" i="4"/>
  <c r="F78" i="3"/>
  <c r="E78" i="3"/>
  <c r="B17" i="4"/>
  <c r="E16" i="3"/>
  <c r="C65" i="4"/>
  <c r="D41" i="6"/>
  <c r="B55" i="4"/>
  <c r="F54" i="3"/>
  <c r="E54" i="3"/>
  <c r="D49" i="6"/>
  <c r="B63" i="4"/>
  <c r="F62" i="3"/>
  <c r="E62" i="3"/>
  <c r="E63" i="3"/>
  <c r="A16" i="4"/>
  <c r="A15" i="7"/>
  <c r="D23" i="6"/>
  <c r="B37" i="4"/>
  <c r="F36" i="3"/>
  <c r="E36" i="3"/>
  <c r="A52" i="7"/>
  <c r="A53" i="4"/>
  <c r="B39" i="6"/>
  <c r="D46" i="6"/>
  <c r="B60" i="4"/>
  <c r="F59" i="3"/>
  <c r="E59" i="3"/>
  <c r="B80" i="4"/>
  <c r="D66" i="6"/>
  <c r="F79" i="3"/>
  <c r="C8" i="4"/>
  <c r="D10" i="6"/>
  <c r="B24" i="4"/>
  <c r="F23" i="3"/>
  <c r="D21" i="6"/>
  <c r="B35" i="4"/>
  <c r="F34" i="3"/>
  <c r="E34" i="3"/>
  <c r="D31" i="6"/>
  <c r="B45" i="4"/>
  <c r="F44" i="3"/>
  <c r="E44" i="3"/>
  <c r="D54" i="6"/>
  <c r="F67" i="3"/>
  <c r="B68" i="4"/>
  <c r="E67" i="3"/>
  <c r="E79" i="3"/>
  <c r="E6" i="3"/>
  <c r="B16" i="4"/>
  <c r="E15" i="3"/>
  <c r="E23" i="3"/>
  <c r="D16" i="6"/>
  <c r="B30" i="4"/>
  <c r="E29" i="3"/>
  <c r="F29" i="3"/>
  <c r="D29" i="6"/>
  <c r="B43" i="4"/>
  <c r="F42" i="3"/>
  <c r="E42" i="3"/>
  <c r="D39" i="6"/>
  <c r="B53" i="4"/>
  <c r="F52" i="3"/>
  <c r="E52" i="3"/>
  <c r="E56" i="3"/>
  <c r="A68" i="7"/>
  <c r="B55" i="6"/>
  <c r="A69" i="4"/>
  <c r="D62" i="6"/>
  <c r="B76" i="4"/>
  <c r="F75" i="3"/>
  <c r="E75" i="3"/>
  <c r="A7" i="7"/>
  <c r="A8" i="4"/>
  <c r="D24" i="6"/>
  <c r="B38" i="4"/>
  <c r="E37" i="3"/>
  <c r="F37" i="3"/>
  <c r="D37" i="6"/>
  <c r="B51" i="4"/>
  <c r="F50" i="3"/>
  <c r="E50" i="3"/>
  <c r="D47" i="6"/>
  <c r="B61" i="4"/>
  <c r="F60" i="3"/>
  <c r="E60" i="3"/>
  <c r="D59" i="6"/>
  <c r="B73" i="4"/>
  <c r="A76" i="7"/>
  <c r="A77" i="4"/>
  <c r="B63" i="6"/>
  <c r="D35" i="6"/>
  <c r="B49" i="4"/>
  <c r="D64" i="6"/>
  <c r="B78" i="4"/>
  <c r="F89" i="3"/>
  <c r="F77" i="3"/>
  <c r="E77" i="3"/>
  <c r="D8" i="6"/>
  <c r="B22" i="4"/>
  <c r="E21" i="3"/>
  <c r="F21" i="3"/>
  <c r="D43" i="6"/>
  <c r="B57" i="4"/>
  <c r="A83" i="7"/>
  <c r="A84" i="4"/>
  <c r="B88" i="4"/>
  <c r="F87" i="3"/>
  <c r="E87" i="3"/>
  <c r="B14" i="6"/>
  <c r="A28" i="4"/>
  <c r="A27" i="7"/>
  <c r="B32" i="4"/>
  <c r="D18" i="6"/>
  <c r="F31" i="3"/>
  <c r="F48" i="3"/>
  <c r="D51" i="6"/>
  <c r="B65" i="4"/>
  <c r="B14" i="4"/>
  <c r="E13" i="3"/>
  <c r="D6" i="6"/>
  <c r="B20" i="4"/>
  <c r="F19" i="3"/>
  <c r="E19" i="3"/>
  <c r="E31" i="3"/>
  <c r="B22" i="6"/>
  <c r="A36" i="4"/>
  <c r="A35" i="7"/>
  <c r="D26" i="6"/>
  <c r="B40" i="4"/>
  <c r="F39" i="3"/>
  <c r="C12" i="5"/>
  <c r="C11" i="5"/>
  <c r="A5" i="7"/>
  <c r="A6" i="4"/>
  <c r="C10" i="5"/>
  <c r="C13" i="4"/>
  <c r="A20" i="7"/>
  <c r="B7" i="6"/>
  <c r="A21" i="4"/>
  <c r="F25" i="3"/>
  <c r="B28" i="4"/>
  <c r="F27" i="3"/>
  <c r="E27" i="3"/>
  <c r="D14" i="6"/>
  <c r="E39" i="3"/>
  <c r="B30" i="6"/>
  <c r="A44" i="4"/>
  <c r="A43" i="7"/>
  <c r="B46" i="4"/>
  <c r="D32" i="6"/>
  <c r="F45" i="3"/>
  <c r="E45" i="3"/>
  <c r="D34" i="6"/>
  <c r="B48" i="4"/>
  <c r="F47" i="3"/>
  <c r="D45" i="6"/>
  <c r="B59" i="4"/>
  <c r="F58" i="3"/>
  <c r="E58" i="3"/>
  <c r="F64" i="3"/>
  <c r="D55" i="6"/>
  <c r="B69" i="4"/>
  <c r="F68" i="3"/>
  <c r="E68" i="3"/>
  <c r="E72" i="3"/>
  <c r="D67" i="6"/>
  <c r="B81" i="4"/>
  <c r="B11" i="4"/>
  <c r="E10" i="3"/>
  <c r="A28" i="7"/>
  <c r="A29" i="4"/>
  <c r="B15" i="6"/>
  <c r="F33" i="3"/>
  <c r="D22" i="6"/>
  <c r="F35" i="3"/>
  <c r="B36" i="4"/>
  <c r="E35" i="3"/>
  <c r="B38" i="6"/>
  <c r="A52" i="4"/>
  <c r="A51" i="7"/>
  <c r="D40" i="6"/>
  <c r="B54" i="4"/>
  <c r="E53" i="3"/>
  <c r="F53" i="3"/>
  <c r="D42" i="6"/>
  <c r="B56" i="4"/>
  <c r="F55" i="3"/>
  <c r="D53" i="6"/>
  <c r="B67" i="4"/>
  <c r="F66" i="3"/>
  <c r="E66" i="3"/>
  <c r="D63" i="6"/>
  <c r="B77" i="4"/>
  <c r="F76" i="3"/>
  <c r="E76" i="3"/>
  <c r="E80" i="3"/>
  <c r="D33" i="6"/>
  <c r="B47" i="4"/>
  <c r="F46" i="3"/>
  <c r="E46" i="3"/>
  <c r="A36" i="7"/>
  <c r="A37" i="4"/>
  <c r="F41" i="3"/>
  <c r="B44" i="4"/>
  <c r="F43" i="3"/>
  <c r="E43" i="3"/>
  <c r="D30" i="6"/>
  <c r="E55" i="3"/>
  <c r="B46" i="6"/>
  <c r="A60" i="4"/>
  <c r="A59" i="7"/>
  <c r="B62" i="4"/>
  <c r="D48" i="6"/>
  <c r="E61" i="3"/>
  <c r="F61" i="3"/>
  <c r="D50" i="6"/>
  <c r="F63" i="3"/>
  <c r="D61" i="6"/>
  <c r="B75" i="4"/>
  <c r="F74" i="3"/>
  <c r="E74" i="3"/>
  <c r="B85" i="4"/>
  <c r="E84" i="3"/>
  <c r="F84" i="3"/>
  <c r="B87" i="4"/>
  <c r="F86" i="3"/>
  <c r="E86" i="3"/>
  <c r="A91" i="7"/>
  <c r="A92" i="4"/>
  <c r="C11" i="4"/>
  <c r="E12" i="3"/>
  <c r="B13" i="4"/>
  <c r="D13" i="6"/>
  <c r="B27" i="4"/>
  <c r="F26" i="3"/>
  <c r="E26" i="3"/>
  <c r="B62" i="6"/>
  <c r="A76" i="4"/>
  <c r="A75" i="7"/>
  <c r="B6" i="6"/>
  <c r="A20" i="4"/>
  <c r="A19" i="7"/>
  <c r="A60" i="7"/>
  <c r="B47" i="6"/>
  <c r="A61" i="4"/>
  <c r="B86" i="4"/>
  <c r="F85" i="3"/>
  <c r="E97" i="7"/>
  <c r="E99" i="7"/>
  <c r="F97" i="7"/>
  <c r="G97" i="7" s="1"/>
  <c r="E98" i="7"/>
  <c r="E100" i="7"/>
  <c r="F99" i="7"/>
  <c r="G99" i="7" s="1"/>
  <c r="B8" i="4"/>
  <c r="E7" i="3"/>
  <c r="E11" i="3"/>
  <c r="D9" i="6"/>
  <c r="B23" i="4"/>
  <c r="F22" i="3"/>
  <c r="E22" i="3"/>
  <c r="D11" i="6"/>
  <c r="B25" i="4"/>
  <c r="C68" i="6"/>
  <c r="C55" i="6"/>
  <c r="C52" i="6"/>
  <c r="C39" i="6"/>
  <c r="C36" i="6"/>
  <c r="C23" i="6"/>
  <c r="C20" i="6"/>
  <c r="C7" i="6"/>
  <c r="E7" i="6" s="1"/>
  <c r="C67" i="6"/>
  <c r="C64" i="6"/>
  <c r="C51" i="6"/>
  <c r="C48" i="6"/>
  <c r="C35" i="6"/>
  <c r="E35" i="6" s="1"/>
  <c r="C32" i="6"/>
  <c r="C19" i="6"/>
  <c r="C16" i="6"/>
  <c r="E16" i="6" s="1"/>
  <c r="B6" i="5"/>
  <c r="B7" i="5" s="1"/>
  <c r="C38" i="6"/>
  <c r="C34" i="6"/>
  <c r="E34" i="6" s="1"/>
  <c r="C30" i="6"/>
  <c r="C25" i="6"/>
  <c r="E25" i="6" s="1"/>
  <c r="C21" i="6"/>
  <c r="E21" i="6" s="1"/>
  <c r="C17" i="6"/>
  <c r="C63" i="6"/>
  <c r="C59" i="6"/>
  <c r="C42" i="6"/>
  <c r="C29" i="6"/>
  <c r="E29" i="6" s="1"/>
  <c r="C12" i="6"/>
  <c r="C8" i="6"/>
  <c r="C54" i="6"/>
  <c r="E54" i="6" s="1"/>
  <c r="C50" i="6"/>
  <c r="C46" i="6"/>
  <c r="C41" i="6"/>
  <c r="C37" i="6"/>
  <c r="C33" i="6"/>
  <c r="C58" i="6"/>
  <c r="C45" i="6"/>
  <c r="C28" i="6"/>
  <c r="C24" i="6"/>
  <c r="C15" i="6"/>
  <c r="C11" i="6"/>
  <c r="C66" i="6"/>
  <c r="C62" i="6"/>
  <c r="C57" i="6"/>
  <c r="C53" i="6"/>
  <c r="C49" i="6"/>
  <c r="C6" i="6"/>
  <c r="C61" i="6"/>
  <c r="C65" i="6"/>
  <c r="E65" i="6" s="1"/>
  <c r="C22" i="6"/>
  <c r="C18" i="6"/>
  <c r="E18" i="6" s="1"/>
  <c r="C14" i="6"/>
  <c r="C9" i="6"/>
  <c r="C5" i="6"/>
  <c r="C60" i="6"/>
  <c r="C56" i="6"/>
  <c r="C47" i="6"/>
  <c r="C43" i="6"/>
  <c r="C44" i="6"/>
  <c r="C40" i="6"/>
  <c r="C13" i="6"/>
  <c r="B6" i="4"/>
  <c r="C7" i="4" s="1"/>
  <c r="C31" i="6"/>
  <c r="C10" i="6"/>
  <c r="C26" i="6"/>
  <c r="C27" i="6"/>
  <c r="A10" i="7"/>
  <c r="A11" i="4"/>
  <c r="C16" i="4"/>
  <c r="D7" i="6"/>
  <c r="B21" i="4"/>
  <c r="F20" i="3"/>
  <c r="E20" i="3"/>
  <c r="E24" i="3"/>
  <c r="G35" i="3" s="1"/>
  <c r="D19" i="6"/>
  <c r="B33" i="4"/>
  <c r="E14" i="3"/>
  <c r="D5" i="6"/>
  <c r="B19" i="4"/>
  <c r="F18" i="3"/>
  <c r="E18" i="3"/>
  <c r="F24" i="3"/>
  <c r="D15" i="6"/>
  <c r="B29" i="4"/>
  <c r="F28" i="3"/>
  <c r="E28" i="3"/>
  <c r="E32" i="3"/>
  <c r="G43" i="3" s="1"/>
  <c r="D27" i="6"/>
  <c r="B41" i="4"/>
  <c r="A44" i="7"/>
  <c r="B31" i="6"/>
  <c r="A45" i="4"/>
  <c r="D38" i="6"/>
  <c r="F51" i="3"/>
  <c r="E51" i="3"/>
  <c r="B52" i="4"/>
  <c r="B54" i="6"/>
  <c r="A68" i="4"/>
  <c r="A67" i="7"/>
  <c r="D56" i="6"/>
  <c r="B70" i="4"/>
  <c r="F69" i="3"/>
  <c r="E69" i="3"/>
  <c r="D58" i="6"/>
  <c r="F71" i="3"/>
  <c r="B72" i="4"/>
  <c r="B83" i="4"/>
  <c r="F82" i="3"/>
  <c r="E82" i="3"/>
  <c r="B23" i="6"/>
  <c r="A34" i="7"/>
  <c r="B21" i="6"/>
  <c r="A35" i="4"/>
  <c r="A67" i="4"/>
  <c r="A66" i="7"/>
  <c r="B53" i="6"/>
  <c r="A74" i="7"/>
  <c r="B61" i="6"/>
  <c r="A75" i="4"/>
  <c r="A17" i="7"/>
  <c r="A18" i="4"/>
  <c r="B12" i="6"/>
  <c r="A25" i="7"/>
  <c r="A26" i="4"/>
  <c r="A14" i="7"/>
  <c r="A15" i="4"/>
  <c r="A24" i="7"/>
  <c r="B11" i="6"/>
  <c r="A40" i="7"/>
  <c r="B27" i="6"/>
  <c r="A48" i="7"/>
  <c r="A49" i="4"/>
  <c r="B35" i="6"/>
  <c r="A64" i="7"/>
  <c r="B51" i="6"/>
  <c r="A65" i="4"/>
  <c r="E83" i="3"/>
  <c r="F88" i="3"/>
  <c r="B13" i="6"/>
  <c r="A26" i="7"/>
  <c r="A42" i="7"/>
  <c r="A43" i="4"/>
  <c r="B29" i="6"/>
  <c r="A51" i="4"/>
  <c r="B37" i="6"/>
  <c r="A50" i="7"/>
  <c r="A59" i="4"/>
  <c r="B45" i="6"/>
  <c r="A58" i="7"/>
  <c r="A83" i="4"/>
  <c r="A82" i="7"/>
  <c r="A19" i="4"/>
  <c r="A9" i="7"/>
  <c r="A10" i="4"/>
  <c r="B36" i="6"/>
  <c r="A49" i="7"/>
  <c r="B44" i="6"/>
  <c r="A57" i="7"/>
  <c r="A58" i="4"/>
  <c r="B52" i="6"/>
  <c r="A65" i="7"/>
  <c r="B60" i="6"/>
  <c r="A74" i="4"/>
  <c r="A73" i="7"/>
  <c r="B68" i="6"/>
  <c r="A82" i="4"/>
  <c r="A81" i="7"/>
  <c r="C85" i="4"/>
  <c r="E88" i="3"/>
  <c r="F91" i="3"/>
  <c r="C75" i="4"/>
  <c r="C90" i="4"/>
  <c r="A7" i="4"/>
  <c r="A6" i="7"/>
  <c r="A32" i="7"/>
  <c r="B19" i="6"/>
  <c r="A56" i="7"/>
  <c r="B43" i="6"/>
  <c r="A72" i="7"/>
  <c r="B59" i="6"/>
  <c r="A73" i="4"/>
  <c r="A80" i="7"/>
  <c r="B67" i="6"/>
  <c r="A81" i="4"/>
  <c r="A85" i="7"/>
  <c r="A86" i="4"/>
  <c r="B94" i="4"/>
  <c r="E93" i="3"/>
  <c r="F93" i="3"/>
  <c r="A12" i="4"/>
  <c r="A11" i="7"/>
  <c r="B10" i="6"/>
  <c r="A24" i="4"/>
  <c r="A23" i="7"/>
  <c r="B18" i="6"/>
  <c r="A31" i="7"/>
  <c r="A32" i="4"/>
  <c r="B26" i="6"/>
  <c r="A39" i="7"/>
  <c r="A40" i="4"/>
  <c r="B34" i="6"/>
  <c r="A48" i="4"/>
  <c r="A47" i="7"/>
  <c r="B42" i="6"/>
  <c r="A56" i="4"/>
  <c r="A55" i="7"/>
  <c r="B50" i="6"/>
  <c r="A63" i="7"/>
  <c r="A64" i="4"/>
  <c r="B58" i="6"/>
  <c r="A71" i="7"/>
  <c r="A72" i="4"/>
  <c r="B66" i="6"/>
  <c r="A80" i="4"/>
  <c r="A79" i="7"/>
  <c r="F83" i="3"/>
  <c r="A27" i="4"/>
  <c r="A33" i="4"/>
  <c r="D20" i="6"/>
  <c r="B33" i="6"/>
  <c r="A47" i="4"/>
  <c r="A46" i="7"/>
  <c r="D36" i="6"/>
  <c r="B50" i="4"/>
  <c r="A55" i="4"/>
  <c r="A54" i="7"/>
  <c r="B41" i="6"/>
  <c r="B49" i="6"/>
  <c r="A63" i="4"/>
  <c r="A62" i="7"/>
  <c r="D52" i="6"/>
  <c r="B66" i="4"/>
  <c r="A71" i="4"/>
  <c r="A70" i="7"/>
  <c r="B57" i="6"/>
  <c r="B91" i="4"/>
  <c r="E90" i="3"/>
  <c r="A12" i="7"/>
  <c r="A13" i="4"/>
  <c r="B20" i="6"/>
  <c r="A33" i="7"/>
  <c r="A34" i="4"/>
  <c r="B28" i="6"/>
  <c r="A41" i="7"/>
  <c r="A42" i="4"/>
  <c r="A8" i="7"/>
  <c r="A9" i="4"/>
  <c r="A16" i="7"/>
  <c r="A17" i="4"/>
  <c r="A23" i="4"/>
  <c r="A22" i="7"/>
  <c r="D12" i="6"/>
  <c r="B26" i="4"/>
  <c r="B17" i="6"/>
  <c r="A31" i="4"/>
  <c r="A30" i="7"/>
  <c r="A39" i="4"/>
  <c r="A38" i="7"/>
  <c r="B25" i="6"/>
  <c r="D28" i="6"/>
  <c r="B42" i="4"/>
  <c r="B58" i="4"/>
  <c r="D44" i="6"/>
  <c r="D60" i="6"/>
  <c r="B65" i="6"/>
  <c r="A79" i="4"/>
  <c r="A78" i="7"/>
  <c r="D68" i="6"/>
  <c r="B82" i="4"/>
  <c r="B34" i="4"/>
  <c r="A41" i="4"/>
  <c r="E9" i="3"/>
  <c r="A14" i="4"/>
  <c r="A13" i="7"/>
  <c r="E17" i="3"/>
  <c r="G28" i="3" s="1"/>
  <c r="B8" i="6"/>
  <c r="A21" i="7"/>
  <c r="E25" i="3"/>
  <c r="B16" i="6"/>
  <c r="A29" i="7"/>
  <c r="E33" i="3"/>
  <c r="B24" i="6"/>
  <c r="A37" i="7"/>
  <c r="E41" i="3"/>
  <c r="B32" i="6"/>
  <c r="A46" i="4"/>
  <c r="A45" i="7"/>
  <c r="E49" i="3"/>
  <c r="B40" i="6"/>
  <c r="A53" i="7"/>
  <c r="E57" i="3"/>
  <c r="G68" i="3" s="1"/>
  <c r="B48" i="6"/>
  <c r="A62" i="4"/>
  <c r="A61" i="7"/>
  <c r="E65" i="3"/>
  <c r="G75" i="3" s="1"/>
  <c r="B56" i="6"/>
  <c r="A69" i="7"/>
  <c r="A70" i="4"/>
  <c r="E73" i="3"/>
  <c r="G84" i="3" s="1"/>
  <c r="B64" i="6"/>
  <c r="A77" i="7"/>
  <c r="A78" i="4"/>
  <c r="E81" i="3"/>
  <c r="A84" i="7"/>
  <c r="A85" i="4"/>
  <c r="D90" i="4"/>
  <c r="C91" i="4"/>
  <c r="F90" i="3"/>
  <c r="B5" i="6"/>
  <c r="D100" i="7"/>
  <c r="D20" i="1" s="1"/>
  <c r="F92" i="3"/>
  <c r="A87" i="4"/>
  <c r="A91" i="4"/>
  <c r="A93" i="4"/>
  <c r="A95" i="4"/>
  <c r="A89" i="4"/>
  <c r="B98" i="7"/>
  <c r="B18" i="1" s="1"/>
  <c r="F94" i="3"/>
  <c r="B99" i="7"/>
  <c r="B19" i="1" s="1"/>
  <c r="E94" i="3"/>
  <c r="F100" i="7"/>
  <c r="G100" i="7" s="1"/>
  <c r="F98" i="7"/>
  <c r="G98" i="7" s="1"/>
  <c r="C97" i="7"/>
  <c r="E11" i="6" l="1"/>
  <c r="E41" i="6"/>
  <c r="E59" i="6"/>
  <c r="E67" i="6"/>
  <c r="E14" i="6"/>
  <c r="E40" i="6"/>
  <c r="E57" i="6"/>
  <c r="E39" i="6"/>
  <c r="E62" i="6"/>
  <c r="E33" i="6"/>
  <c r="E51" i="6"/>
  <c r="E43" i="6"/>
  <c r="E66" i="6"/>
  <c r="E37" i="6"/>
  <c r="E64" i="6"/>
  <c r="E55" i="6"/>
  <c r="E47" i="6"/>
  <c r="E68" i="6"/>
  <c r="E10" i="6"/>
  <c r="E56" i="6"/>
  <c r="E46" i="6"/>
  <c r="E63" i="6"/>
  <c r="E24" i="6"/>
  <c r="E50" i="6"/>
  <c r="E17" i="6"/>
  <c r="E23" i="6"/>
  <c r="E45" i="6"/>
  <c r="E8" i="6"/>
  <c r="E31" i="6"/>
  <c r="E20" i="6"/>
  <c r="E28" i="6"/>
  <c r="E58" i="6"/>
  <c r="E12" i="6"/>
  <c r="E30" i="6"/>
  <c r="E48" i="6"/>
  <c r="E52" i="6"/>
  <c r="E44" i="6"/>
  <c r="H98" i="7"/>
  <c r="E18" i="1"/>
  <c r="E91" i="4"/>
  <c r="C92" i="4"/>
  <c r="D92" i="4" s="1"/>
  <c r="D91" i="4"/>
  <c r="G94" i="3"/>
  <c r="C73" i="4"/>
  <c r="C88" i="4"/>
  <c r="C78" i="4"/>
  <c r="D78" i="4" s="1"/>
  <c r="G46" i="3"/>
  <c r="D69" i="4"/>
  <c r="C70" i="4"/>
  <c r="D70" i="4" s="1"/>
  <c r="C49" i="4"/>
  <c r="G60" i="3"/>
  <c r="G20" i="3"/>
  <c r="D94" i="4"/>
  <c r="C95" i="4"/>
  <c r="D95" i="4" s="1"/>
  <c r="C53" i="4"/>
  <c r="D53" i="4" s="1"/>
  <c r="D52" i="4"/>
  <c r="E26" i="6"/>
  <c r="G18" i="3"/>
  <c r="G23" i="3"/>
  <c r="G77" i="3"/>
  <c r="G64" i="3"/>
  <c r="C12" i="4"/>
  <c r="D12" i="4" s="1"/>
  <c r="D11" i="4"/>
  <c r="G56" i="3"/>
  <c r="C41" i="4"/>
  <c r="D40" i="4"/>
  <c r="C21" i="4"/>
  <c r="D20" i="4"/>
  <c r="G88" i="3"/>
  <c r="G26" i="3"/>
  <c r="G55" i="3"/>
  <c r="G70" i="3"/>
  <c r="C64" i="4"/>
  <c r="D64" i="4" s="1"/>
  <c r="G27" i="3"/>
  <c r="C72" i="4"/>
  <c r="D72" i="4" s="1"/>
  <c r="H97" i="7"/>
  <c r="E17" i="1"/>
  <c r="D27" i="4"/>
  <c r="C28" i="4"/>
  <c r="C20" i="4"/>
  <c r="D19" i="4"/>
  <c r="D21" i="4"/>
  <c r="C22" i="4"/>
  <c r="D22" i="4" s="1"/>
  <c r="C33" i="4"/>
  <c r="G61" i="3"/>
  <c r="C44" i="4"/>
  <c r="C17" i="4"/>
  <c r="D16" i="4"/>
  <c r="C25" i="4"/>
  <c r="D24" i="4"/>
  <c r="C38" i="4"/>
  <c r="D37" i="4"/>
  <c r="C18" i="4"/>
  <c r="D18" i="4" s="1"/>
  <c r="D17" i="4"/>
  <c r="G49" i="3"/>
  <c r="D10" i="5"/>
  <c r="F10" i="5" s="1"/>
  <c r="I10" i="5"/>
  <c r="E10" i="5"/>
  <c r="G24" i="3"/>
  <c r="C58" i="4"/>
  <c r="D58" i="4" s="1"/>
  <c r="G67" i="3"/>
  <c r="G17" i="3"/>
  <c r="C46" i="4"/>
  <c r="C61" i="4"/>
  <c r="D61" i="4" s="1"/>
  <c r="G65" i="3"/>
  <c r="G58" i="3"/>
  <c r="G41" i="3"/>
  <c r="D97" i="7"/>
  <c r="D17" i="1" s="1"/>
  <c r="C17" i="1"/>
  <c r="C84" i="4"/>
  <c r="D84" i="4" s="1"/>
  <c r="C24" i="4"/>
  <c r="C57" i="4"/>
  <c r="D57" i="4" s="1"/>
  <c r="D56" i="4"/>
  <c r="G92" i="3"/>
  <c r="G76" i="3"/>
  <c r="D99" i="7"/>
  <c r="D19" i="1" s="1"/>
  <c r="G80" i="3"/>
  <c r="G62" i="3"/>
  <c r="E61" i="6"/>
  <c r="E15" i="6"/>
  <c r="C26" i="4"/>
  <c r="D26" i="4" s="1"/>
  <c r="D25" i="4"/>
  <c r="C9" i="4"/>
  <c r="D8" i="4"/>
  <c r="D86" i="4"/>
  <c r="C87" i="4"/>
  <c r="D87" i="4" s="1"/>
  <c r="D85" i="4"/>
  <c r="C86" i="4"/>
  <c r="G72" i="3"/>
  <c r="G54" i="3"/>
  <c r="C48" i="4"/>
  <c r="D48" i="4" s="1"/>
  <c r="D54" i="4"/>
  <c r="C55" i="4"/>
  <c r="C82" i="4"/>
  <c r="G69" i="3"/>
  <c r="G38" i="3"/>
  <c r="G36" i="3"/>
  <c r="C35" i="4"/>
  <c r="D34" i="4"/>
  <c r="C59" i="4"/>
  <c r="D59" i="4" s="1"/>
  <c r="C67" i="4"/>
  <c r="D66" i="4"/>
  <c r="C51" i="4"/>
  <c r="D51" i="4" s="1"/>
  <c r="G39" i="3"/>
  <c r="E60" i="6"/>
  <c r="E6" i="6"/>
  <c r="E19" i="6"/>
  <c r="E49" i="6"/>
  <c r="E32" i="6"/>
  <c r="G33" i="3"/>
  <c r="C79" i="4"/>
  <c r="C74" i="4"/>
  <c r="D74" i="4" s="1"/>
  <c r="D73" i="4"/>
  <c r="G86" i="3"/>
  <c r="G63" i="3"/>
  <c r="G90" i="3"/>
  <c r="G59" i="3"/>
  <c r="C40" i="4"/>
  <c r="H99" i="7"/>
  <c r="E19" i="1"/>
  <c r="G85" i="3"/>
  <c r="C68" i="4"/>
  <c r="D67" i="4"/>
  <c r="D82" i="4"/>
  <c r="C83" i="4"/>
  <c r="D83" i="4" s="1"/>
  <c r="C43" i="4"/>
  <c r="D43" i="4" s="1"/>
  <c r="C27" i="4"/>
  <c r="G93" i="3"/>
  <c r="C71" i="4"/>
  <c r="D71" i="4" s="1"/>
  <c r="G25" i="3"/>
  <c r="E5" i="6"/>
  <c r="G37" i="3"/>
  <c r="C63" i="4"/>
  <c r="D63" i="4" s="1"/>
  <c r="D62" i="4"/>
  <c r="C45" i="4"/>
  <c r="D45" i="4" s="1"/>
  <c r="D44" i="4"/>
  <c r="G91" i="3"/>
  <c r="G83" i="3"/>
  <c r="C60" i="4"/>
  <c r="D60" i="4" s="1"/>
  <c r="C47" i="4"/>
  <c r="D47" i="4" s="1"/>
  <c r="D46" i="4"/>
  <c r="C29" i="4"/>
  <c r="D29" i="4" s="1"/>
  <c r="D28" i="4"/>
  <c r="C15" i="4"/>
  <c r="D15" i="4" s="1"/>
  <c r="C52" i="4"/>
  <c r="G52" i="3"/>
  <c r="D98" i="7"/>
  <c r="D18" i="1" s="1"/>
  <c r="C30" i="4"/>
  <c r="D30" i="4" s="1"/>
  <c r="D33" i="4"/>
  <c r="C34" i="4"/>
  <c r="E13" i="6"/>
  <c r="E9" i="6"/>
  <c r="E53" i="6"/>
  <c r="E36" i="6"/>
  <c r="D75" i="4"/>
  <c r="C76" i="4"/>
  <c r="D76" i="4" s="1"/>
  <c r="G87" i="3"/>
  <c r="G79" i="3"/>
  <c r="D65" i="4"/>
  <c r="C66" i="4"/>
  <c r="G40" i="3"/>
  <c r="G78" i="3"/>
  <c r="G45" i="3"/>
  <c r="D7" i="4"/>
  <c r="C56" i="4"/>
  <c r="D55" i="4"/>
  <c r="G89" i="3"/>
  <c r="C32" i="4"/>
  <c r="D32" i="4" s="1"/>
  <c r="I11" i="5"/>
  <c r="E11" i="5"/>
  <c r="J11" i="5"/>
  <c r="D11" i="5"/>
  <c r="F11" i="5" s="1"/>
  <c r="G42" i="3"/>
  <c r="G32" i="3"/>
  <c r="D49" i="4"/>
  <c r="C50" i="4"/>
  <c r="D50" i="4" s="1"/>
  <c r="G71" i="3"/>
  <c r="C77" i="4"/>
  <c r="D77" i="4" s="1"/>
  <c r="C54" i="4"/>
  <c r="C31" i="4"/>
  <c r="D31" i="4" s="1"/>
  <c r="C69" i="4"/>
  <c r="D68" i="4"/>
  <c r="G74" i="3"/>
  <c r="G82" i="3"/>
  <c r="I12" i="5"/>
  <c r="E12" i="5"/>
  <c r="D12" i="5"/>
  <c r="F12" i="5" s="1"/>
  <c r="G12" i="5" s="1"/>
  <c r="G30" i="3"/>
  <c r="C23" i="4"/>
  <c r="D23" i="4" s="1"/>
  <c r="G48" i="3"/>
  <c r="C36" i="4"/>
  <c r="D35" i="4"/>
  <c r="G73" i="3"/>
  <c r="D79" i="4"/>
  <c r="C80" i="4"/>
  <c r="G81" i="3"/>
  <c r="G19" i="3"/>
  <c r="H100" i="7"/>
  <c r="E20" i="1"/>
  <c r="G44" i="3"/>
  <c r="C42" i="4"/>
  <c r="D42" i="4" s="1"/>
  <c r="D41" i="4"/>
  <c r="G29" i="3"/>
  <c r="G31" i="3"/>
  <c r="E27" i="6"/>
  <c r="E22" i="6"/>
  <c r="E42" i="6"/>
  <c r="E38" i="6"/>
  <c r="G22" i="3"/>
  <c r="D13" i="4"/>
  <c r="C14" i="4"/>
  <c r="D14" i="4" s="1"/>
  <c r="G66" i="3"/>
  <c r="G57" i="3"/>
  <c r="C37" i="4"/>
  <c r="D36" i="4"/>
  <c r="G21" i="3"/>
  <c r="G50" i="3"/>
  <c r="C89" i="4"/>
  <c r="D89" i="4" s="1"/>
  <c r="D88" i="4"/>
  <c r="G51" i="3"/>
  <c r="C62" i="4"/>
  <c r="D38" i="4"/>
  <c r="C39" i="4"/>
  <c r="D39" i="4" s="1"/>
  <c r="G53" i="3"/>
  <c r="G34" i="3"/>
  <c r="D80" i="4"/>
  <c r="C81" i="4"/>
  <c r="D81" i="4" s="1"/>
  <c r="G47" i="3"/>
  <c r="D9" i="4"/>
  <c r="C10" i="4"/>
  <c r="D10" i="4" s="1"/>
  <c r="E77" i="4" l="1"/>
  <c r="E48" i="4"/>
  <c r="E59" i="4"/>
  <c r="F59" i="4" s="1"/>
  <c r="F58" i="4"/>
  <c r="E82" i="4"/>
  <c r="F81" i="4"/>
  <c r="E15" i="4"/>
  <c r="E61" i="4"/>
  <c r="E49" i="4"/>
  <c r="F49" i="4" s="1"/>
  <c r="F48" i="4"/>
  <c r="F22" i="4"/>
  <c r="E23" i="4"/>
  <c r="F23" i="4" s="1"/>
  <c r="E73" i="4"/>
  <c r="H12" i="5"/>
  <c r="K12" i="5" s="1"/>
  <c r="B10" i="1"/>
  <c r="E78" i="4"/>
  <c r="F78" i="4" s="1"/>
  <c r="F77" i="4"/>
  <c r="G11" i="5"/>
  <c r="G10" i="5"/>
  <c r="E43" i="4"/>
  <c r="E72" i="4"/>
  <c r="F72" i="4" s="1"/>
  <c r="E27" i="4"/>
  <c r="F27" i="4" s="1"/>
  <c r="F26" i="4"/>
  <c r="F70" i="4"/>
  <c r="E71" i="4"/>
  <c r="F71" i="4" s="1"/>
  <c r="E24" i="4"/>
  <c r="E84" i="4"/>
  <c r="E40" i="4"/>
  <c r="E46" i="4"/>
  <c r="F46" i="4" s="1"/>
  <c r="F45" i="4"/>
  <c r="E52" i="4"/>
  <c r="E54" i="4"/>
  <c r="F53" i="4"/>
  <c r="E64" i="4"/>
  <c r="F64" i="4" s="1"/>
  <c r="F31" i="4"/>
  <c r="E32" i="4"/>
  <c r="E31" i="4"/>
  <c r="E60" i="4"/>
  <c r="F60" i="4" s="1"/>
  <c r="F50" i="4"/>
  <c r="E51" i="4"/>
  <c r="F51" i="4" s="1"/>
  <c r="E33" i="4"/>
  <c r="F33" i="4" s="1"/>
  <c r="F32" i="4"/>
  <c r="E58" i="4"/>
  <c r="E62" i="4"/>
  <c r="F61" i="4"/>
  <c r="E30" i="4"/>
  <c r="F30" i="4" s="1"/>
  <c r="F43" i="4"/>
  <c r="E44" i="4"/>
  <c r="F44" i="4" s="1"/>
  <c r="E88" i="4"/>
  <c r="E79" i="4"/>
  <c r="F79" i="4" s="1"/>
  <c r="B99" i="4"/>
  <c r="B102" i="4"/>
  <c r="B104" i="4" s="1"/>
  <c r="B101" i="4"/>
  <c r="B100" i="4"/>
  <c r="B105" i="4" s="1"/>
  <c r="E8" i="4"/>
  <c r="E53" i="4"/>
  <c r="F52" i="4"/>
  <c r="E57" i="4"/>
  <c r="F57" i="4" s="1"/>
  <c r="F56" i="4"/>
  <c r="F19" i="4"/>
  <c r="E20" i="4"/>
  <c r="F20" i="4" s="1"/>
  <c r="F95" i="4"/>
  <c r="F91" i="4"/>
  <c r="E92" i="4"/>
  <c r="E45" i="4"/>
  <c r="F75" i="4"/>
  <c r="E76" i="4"/>
  <c r="F76" i="4" s="1"/>
  <c r="E68" i="4"/>
  <c r="F68" i="4" s="1"/>
  <c r="F67" i="4"/>
  <c r="E67" i="4"/>
  <c r="J10" i="5"/>
  <c r="F16" i="4"/>
  <c r="E17" i="4"/>
  <c r="E22" i="4"/>
  <c r="E21" i="4"/>
  <c r="F21" i="4" s="1"/>
  <c r="E70" i="4"/>
  <c r="F89" i="4"/>
  <c r="E90" i="4"/>
  <c r="F90" i="4" s="1"/>
  <c r="E14" i="4"/>
  <c r="F14" i="4" s="1"/>
  <c r="E42" i="4"/>
  <c r="F42" i="4" s="1"/>
  <c r="E80" i="4"/>
  <c r="E47" i="4"/>
  <c r="F47" i="4" s="1"/>
  <c r="E63" i="4"/>
  <c r="F63" i="4" s="1"/>
  <c r="F62" i="4"/>
  <c r="J12" i="5"/>
  <c r="E50" i="4"/>
  <c r="E86" i="4"/>
  <c r="F86" i="4" s="1"/>
  <c r="F85" i="4"/>
  <c r="E18" i="4"/>
  <c r="F18" i="4" s="1"/>
  <c r="F17" i="4"/>
  <c r="E41" i="4"/>
  <c r="F41" i="4" s="1"/>
  <c r="F40" i="4"/>
  <c r="E95" i="4"/>
  <c r="F94" i="4"/>
  <c r="E93" i="4"/>
  <c r="F93" i="4" s="1"/>
  <c r="F92" i="4"/>
  <c r="E36" i="4"/>
  <c r="E74" i="4"/>
  <c r="F74" i="4" s="1"/>
  <c r="F73" i="4"/>
  <c r="E19" i="4"/>
  <c r="E65" i="4"/>
  <c r="F65" i="4" s="1"/>
  <c r="F28" i="4"/>
  <c r="E29" i="4"/>
  <c r="F29" i="4" s="1"/>
  <c r="E83" i="4"/>
  <c r="F83" i="4" s="1"/>
  <c r="F82" i="4"/>
  <c r="E89" i="4"/>
  <c r="F88" i="4"/>
  <c r="E11" i="4"/>
  <c r="F11" i="4" s="1"/>
  <c r="E39" i="4"/>
  <c r="F39" i="4" s="1"/>
  <c r="E37" i="4"/>
  <c r="F37" i="4" s="1"/>
  <c r="F36" i="4"/>
  <c r="E28" i="4"/>
  <c r="E56" i="4"/>
  <c r="B103" i="4"/>
  <c r="E9" i="4"/>
  <c r="F8" i="4"/>
  <c r="E12" i="4"/>
  <c r="E26" i="4"/>
  <c r="E81" i="4"/>
  <c r="F80" i="4"/>
  <c r="E69" i="4"/>
  <c r="F69" i="4" s="1"/>
  <c r="E66" i="4"/>
  <c r="F66" i="4" s="1"/>
  <c r="B70" i="6"/>
  <c r="E75" i="4"/>
  <c r="F34" i="4"/>
  <c r="E35" i="4"/>
  <c r="F35" i="4" s="1"/>
  <c r="F54" i="4"/>
  <c r="E55" i="4"/>
  <c r="F55" i="4" s="1"/>
  <c r="E87" i="4"/>
  <c r="F87" i="4" s="1"/>
  <c r="E85" i="4"/>
  <c r="F84" i="4"/>
  <c r="E38" i="4"/>
  <c r="F38" i="4" s="1"/>
  <c r="E10" i="4"/>
  <c r="F10" i="4" s="1"/>
  <c r="F9" i="4"/>
  <c r="E34" i="4"/>
  <c r="E16" i="4"/>
  <c r="F15" i="4"/>
  <c r="F24" i="4"/>
  <c r="E25" i="4"/>
  <c r="F25" i="4" s="1"/>
  <c r="E13" i="4"/>
  <c r="F13" i="4" s="1"/>
  <c r="F12" i="4"/>
  <c r="H11" i="5" l="1"/>
  <c r="K11" i="5" s="1"/>
  <c r="B9" i="1"/>
  <c r="B107" i="4"/>
  <c r="B5" i="1"/>
  <c r="H10" i="5"/>
  <c r="B7" i="1"/>
  <c r="C102" i="4"/>
  <c r="C104" i="4" s="1"/>
  <c r="C101" i="4"/>
  <c r="C100" i="4"/>
  <c r="C99" i="4"/>
  <c r="B72" i="6"/>
  <c r="B71" i="6"/>
  <c r="B11" i="1" s="1"/>
  <c r="C103" i="4"/>
  <c r="B74" i="6" l="1"/>
  <c r="B13" i="1" s="1"/>
  <c r="B73" i="6"/>
  <c r="B12" i="1" s="1"/>
  <c r="K10" i="5"/>
  <c r="B8" i="1"/>
  <c r="C105" i="4"/>
  <c r="C107" i="4" l="1"/>
  <c r="B6" i="1"/>
</calcChain>
</file>

<file path=xl/comments1.xml><?xml version="1.0" encoding="utf-8"?>
<comments xmlns="http://schemas.openxmlformats.org/spreadsheetml/2006/main">
  <authors>
    <author>Unknown Author</author>
  </authors>
  <commentList>
    <comment ref="B106" authorId="0" shapeId="0">
      <text>
        <r>
          <rPr>
            <sz val="10"/>
            <rFont val="Arial"/>
            <family val="2"/>
          </rPr>
          <t>Got this number from a Dickey-Fuller critical value table (MacKinnon, cited in most textbooks) - roughly the 5% cutoff when you have around 90-100 data points.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5" authorId="0" shapeId="0">
      <text>
        <r>
          <rPr>
            <sz val="10"/>
            <rFont val="Arial"/>
            <family val="2"/>
          </rPr>
          <t>Just pasted these in from the RBI file, nothing changed.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A5" authorId="0" shapeId="0">
      <text>
        <r>
          <rPr>
            <sz val="10"/>
            <rFont val="Arial"/>
            <family val="2"/>
          </rPr>
          <t>Total number of observations in the sample (90).</t>
        </r>
      </text>
    </comment>
    <comment ref="B10" authorId="0" shapeId="0">
      <text>
        <r>
          <rPr>
            <sz val="10"/>
            <rFont val="Arial"/>
            <family val="2"/>
          </rPr>
          <t>India's national COVID lockdown started around here.</t>
        </r>
      </text>
    </comment>
    <comment ref="B11" authorId="0" shapeId="0">
      <text>
        <r>
          <rPr>
            <sz val="10"/>
            <rFont val="Arial"/>
            <family val="2"/>
          </rPr>
          <t>RBI's own footnotes say they widened how many banks report into this survey around this time (from ~90% to ~95% of banks) - so if I find a 'break' near this date it might just be a reporting/coverage change, not real economic change. Worth flagging honestly rather than pretending it's a clean result.</t>
        </r>
      </text>
    </comment>
    <comment ref="B12" authorId="0" shapeId="0">
      <text>
        <r>
          <rPr>
            <sz val="10"/>
            <rFont val="Arial"/>
            <family val="2"/>
          </rPr>
          <t>HDFC Ltd (a big housing finance company) merged into HDFC Bank around here - this would have added a big chunk of existing mortgages onto a bank's balance sheet overnight, which could look like a 'break' in Personal Loans/Housing credit even without any real change in lending behaviour.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A71" authorId="0" shapeId="0">
      <text>
        <r>
          <rPr>
            <sz val="10"/>
            <rFont val="Arial"/>
            <family val="2"/>
          </rPr>
          <t>This is just whichever date came out with the lowest total error when I tried every possible split point - I didn't pick it myself.</t>
        </r>
      </text>
    </comment>
  </commentList>
</comments>
</file>

<file path=xl/sharedStrings.xml><?xml version="1.0" encoding="utf-8"?>
<sst xmlns="http://schemas.openxmlformats.org/spreadsheetml/2006/main" count="118" uniqueCount="102">
  <si>
    <t>Is There a Structural Change in India's Bank Credit? (2019-2026)</t>
  </si>
  <si>
    <t>Result</t>
  </si>
  <si>
    <t>Value</t>
  </si>
  <si>
    <t>ADF t-stat, log(credit) LEVEL</t>
  </si>
  <si>
    <t>ADF t-stat, credit GROWTH RATE (first diff.)</t>
  </si>
  <si>
    <t>Chow F-stat @ COVID (Mar 2020)</t>
  </si>
  <si>
    <t>Chow p-value @ COVID (Mar 2020)</t>
  </si>
  <si>
    <t>Chow F-stat @ SIBC coverage widened (Apr 2021)</t>
  </si>
  <si>
    <t>Chow F-stat @ HDFC merger (Jul 2023)</t>
  </si>
  <si>
    <t>Best-fit break date (unassumed, data-driven)</t>
  </si>
  <si>
    <t>Growth rate BEFORE best-fit break (%/month)</t>
  </si>
  <si>
    <t>Growth rate AFTER best-fit break (%/month)</t>
  </si>
  <si>
    <t>Sector</t>
  </si>
  <si>
    <t>Share 2019 (%)</t>
  </si>
  <si>
    <t>Share 2026 (%)</t>
  </si>
  <si>
    <t>Change (pp)</t>
  </si>
  <si>
    <t>p-value (trend)</t>
  </si>
  <si>
    <t>Agriculture</t>
  </si>
  <si>
    <t>Industry</t>
  </si>
  <si>
    <t>Services</t>
  </si>
  <si>
    <t>Personal Loans</t>
  </si>
  <si>
    <t>Source: RBI website, Table No. 15 (Deployment of Gross Bank Credit by Major Sectors). I downloaded this as-is and didn't edit any of the numbers. Values are in Rs. Crore.</t>
  </si>
  <si>
    <t>Date</t>
  </si>
  <si>
    <t>Gross Bank Credit</t>
  </si>
  <si>
    <t>Food Credit</t>
  </si>
  <si>
    <t>Non Food Credit</t>
  </si>
  <si>
    <t>Industry Micro Small</t>
  </si>
  <si>
    <t>Industry Medium</t>
  </si>
  <si>
    <t>Industry Large</t>
  </si>
  <si>
    <t>Trade</t>
  </si>
  <si>
    <t>NBFC</t>
  </si>
  <si>
    <t>Housing</t>
  </si>
  <si>
    <t>Credit Card Outstanding</t>
  </si>
  <si>
    <t>Vehicle Loans</t>
  </si>
  <si>
    <t>Gold Jewellery Loans</t>
  </si>
  <si>
    <t>Part 0: Looking at the credit level and its growth rate</t>
  </si>
  <si>
    <t>t (0-based month index)</t>
  </si>
  <si>
    <t>ln(Gross Bank Credit)</t>
  </si>
  <si>
    <t>MoM growth (log-diff, %)</t>
  </si>
  <si>
    <t>Approx. YoY growth (%)</t>
  </si>
  <si>
    <t>12-mo rolling std dev of MoM growth</t>
  </si>
  <si>
    <t>Part 1: Checking for stationarity (Dickey-Fuller test)</t>
  </si>
  <si>
    <t>ln(Credit)</t>
  </si>
  <si>
    <t>Lag ln(Credit) [y(t-1)]</t>
  </si>
  <si>
    <t>d(ln Credit) [Δy]</t>
  </si>
  <si>
    <t>Lag Δy [Δy(t-1)]</t>
  </si>
  <si>
    <t>d(Δy) [Δ²y]</t>
  </si>
  <si>
    <t>Test</t>
  </si>
  <si>
    <t>Level: ln(Gross Bank Credit)</t>
  </si>
  <si>
    <t>First difference (MoM growth)</t>
  </si>
  <si>
    <t>n (observations used)</t>
  </si>
  <si>
    <t>Slope (b)</t>
  </si>
  <si>
    <t>Intercept (a)</t>
  </si>
  <si>
    <t>STEYX (resid. std. error)</t>
  </si>
  <si>
    <t>DEVSQ of x</t>
  </si>
  <si>
    <t>SE(b) = STEYX / SQRT(DEVSQ)</t>
  </si>
  <si>
    <t>t-statistic (b / SE(b))</t>
  </si>
  <si>
    <t>MacKinnon (1994) approx. critical value, 5% (constant-only, n~100)</t>
  </si>
  <si>
    <t>Conclusion</t>
  </si>
  <si>
    <t>Part 2: Did the trend break at a date I already suspect?</t>
  </si>
  <si>
    <t>Full-sample (pooled) regression of ln(Credit) on t</t>
  </si>
  <si>
    <t>n (total)</t>
  </si>
  <si>
    <t>STEYX (pooled)</t>
  </si>
  <si>
    <t>SSR (pooled) = STEYX^2 * (n-2)</t>
  </si>
  <si>
    <t>Break hypothesis</t>
  </si>
  <si>
    <t>Break date (input)</t>
  </si>
  <si>
    <t>n1 (obs before)</t>
  </si>
  <si>
    <t>n2 (obs after)</t>
  </si>
  <si>
    <t>SSR1</t>
  </si>
  <si>
    <t>SSR2</t>
  </si>
  <si>
    <t>F-statistic</t>
  </si>
  <si>
    <t>p-value</t>
  </si>
  <si>
    <t>Slope before (%/month)</t>
  </si>
  <si>
    <t>Slope after (%/month)</t>
  </si>
  <si>
    <t>Conclusion (5%)</t>
  </si>
  <si>
    <t>COVID lockdown</t>
  </si>
  <si>
    <t>SIBC coverage widened</t>
  </si>
  <si>
    <t>HDFC-HDFC Bank merger</t>
  </si>
  <si>
    <t>Part 3: Letting the data pick the break date itself</t>
  </si>
  <si>
    <t>c (obs. in segment 1)</t>
  </si>
  <si>
    <t>Break date (first obs. of segment 2)</t>
  </si>
  <si>
    <t>SSR segment 1</t>
  </si>
  <si>
    <t>SSR segment 2</t>
  </si>
  <si>
    <t>Total SSR</t>
  </si>
  <si>
    <t>Minimum Total SSR</t>
  </si>
  <si>
    <t>Best-fit break date</t>
  </si>
  <si>
    <t>Best-fit c (obs. before break)</t>
  </si>
  <si>
    <t>Slope before break (%/month)</t>
  </si>
  <si>
    <t>Slope after break (%/month)</t>
  </si>
  <si>
    <t>Part 4: Has the MIX of sectors changed, not just the total?</t>
  </si>
  <si>
    <t>t (month index)</t>
  </si>
  <si>
    <t>Agriculture (%)</t>
  </si>
  <si>
    <t>Industry (%)</t>
  </si>
  <si>
    <t>Services (%)</t>
  </si>
  <si>
    <t>Personal Loans (%)</t>
  </si>
  <si>
    <t>Avg. share, first 12 months (%)</t>
  </si>
  <si>
    <t>Avg. share, last 12 months (%)</t>
  </si>
  <si>
    <t>Trend slope (pp/year)</t>
  </si>
  <si>
    <t>t-statistic</t>
  </si>
  <si>
    <t>RBI Table No. 15 - Deployment of Gross Bank Credit by Major Sectors</t>
  </si>
  <si>
    <t>Part 1 &amp; 2  is there a break in the overall trend?</t>
  </si>
  <si>
    <t>Part 3 &amp; 4 - has the sector mix shifted?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</si>
</sst>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yyyy\-mm\-dd"/>
    <numFmt numFmtId="167" formatCode="0.0000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i/>
      <sz val="9"/>
      <color rgb="FF59595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b/>
      <sz val="14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 applyBorder="1" applyAlignment="1">
      <alignment vertical="top" wrapText="1"/>
    </xf>
    <xf numFmtId="0" fontId="2" fillId="0" borderId="0" xfId="0" applyFont="1" applyBorder="1" applyAlignment="1"/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/>
    <xf numFmtId="164" fontId="7" fillId="3" borderId="0" xfId="0" applyNumberFormat="1" applyFont="1" applyFill="1" applyAlignment="1"/>
    <xf numFmtId="2" fontId="7" fillId="3" borderId="0" xfId="0" applyNumberFormat="1" applyFont="1" applyFill="1" applyAlignment="1"/>
    <xf numFmtId="165" fontId="7" fillId="3" borderId="0" xfId="0" applyNumberFormat="1" applyFont="1" applyFill="1" applyAlignment="1"/>
    <xf numFmtId="166" fontId="7" fillId="3" borderId="0" xfId="0" applyNumberFormat="1" applyFont="1" applyFill="1" applyAlignment="1"/>
    <xf numFmtId="2" fontId="7" fillId="0" borderId="0" xfId="0" applyNumberFormat="1" applyFont="1" applyAlignment="1"/>
    <xf numFmtId="165" fontId="7" fillId="0" borderId="0" xfId="0" applyNumberFormat="1" applyFont="1" applyAlignment="1"/>
    <xf numFmtId="0" fontId="8" fillId="0" borderId="0" xfId="0" applyFont="1" applyAlignment="1"/>
    <xf numFmtId="0" fontId="3" fillId="0" borderId="0" xfId="0" applyFont="1" applyAlignment="1"/>
    <xf numFmtId="166" fontId="9" fillId="0" borderId="0" xfId="0" applyNumberFormat="1" applyFont="1" applyAlignment="1"/>
    <xf numFmtId="4" fontId="9" fillId="0" borderId="0" xfId="0" applyNumberFormat="1" applyFont="1" applyAlignment="1"/>
    <xf numFmtId="166" fontId="7" fillId="0" borderId="0" xfId="0" applyNumberFormat="1" applyFont="1" applyAlignment="1"/>
    <xf numFmtId="4" fontId="7" fillId="0" borderId="0" xfId="0" applyNumberFormat="1" applyFont="1" applyAlignment="1"/>
    <xf numFmtId="167" fontId="6" fillId="0" borderId="0" xfId="0" applyNumberFormat="1" applyFont="1" applyAlignment="1"/>
    <xf numFmtId="2" fontId="6" fillId="0" borderId="0" xfId="0" applyNumberFormat="1" applyFont="1" applyAlignment="1"/>
    <xf numFmtId="164" fontId="6" fillId="0" borderId="0" xfId="0" applyNumberFormat="1" applyFont="1" applyAlignment="1"/>
    <xf numFmtId="167" fontId="7" fillId="0" borderId="0" xfId="0" applyNumberFormat="1" applyFont="1" applyAlignment="1"/>
    <xf numFmtId="164" fontId="5" fillId="3" borderId="0" xfId="0" applyNumberFormat="1" applyFont="1" applyFill="1" applyAlignment="1"/>
    <xf numFmtId="0" fontId="9" fillId="0" borderId="0" xfId="0" applyFont="1" applyAlignment="1"/>
    <xf numFmtId="2" fontId="5" fillId="3" borderId="0" xfId="0" applyNumberFormat="1" applyFont="1" applyFill="1" applyAlignment="1"/>
    <xf numFmtId="165" fontId="5" fillId="3" borderId="0" xfId="0" applyNumberFormat="1" applyFont="1" applyFill="1" applyAlignment="1"/>
    <xf numFmtId="167" fontId="5" fillId="3" borderId="0" xfId="0" applyNumberFormat="1" applyFont="1" applyFill="1" applyAlignment="1"/>
    <xf numFmtId="166" fontId="5" fillId="3" borderId="0" xfId="0" applyNumberFormat="1" applyFont="1" applyFill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Gross Bank Credit (Rs. Crore)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Analysis'!$C$4</c:f>
              <c:strCache>
                <c:ptCount val="1"/>
                <c:pt idx="0">
                  <c:v>Gross Bank Credit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Analysis'!$A$5:$A$94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'Growth Analysis'!$C$5:$C$94</c:f>
              <c:numCache>
                <c:formatCode>#,##0.00</c:formatCode>
                <c:ptCount val="90"/>
                <c:pt idx="0">
                  <c:v>9332554.5500000007</c:v>
                </c:pt>
                <c:pt idx="1">
                  <c:v>9440365.932</c:v>
                </c:pt>
                <c:pt idx="2">
                  <c:v>9771722.4352000002</c:v>
                </c:pt>
                <c:pt idx="3">
                  <c:v>9620945.4914999995</c:v>
                </c:pt>
                <c:pt idx="4">
                  <c:v>9621544.9886000007</c:v>
                </c:pt>
                <c:pt idx="5">
                  <c:v>9648768.2612999994</c:v>
                </c:pt>
                <c:pt idx="6">
                  <c:v>9658377.6834999993</c:v>
                </c:pt>
                <c:pt idx="7">
                  <c:v>9680153.4437000006</c:v>
                </c:pt>
                <c:pt idx="8">
                  <c:v>9766853.8561899997</c:v>
                </c:pt>
                <c:pt idx="9">
                  <c:v>9840562.3136999998</c:v>
                </c:pt>
                <c:pt idx="10">
                  <c:v>9860302.6499600001</c:v>
                </c:pt>
                <c:pt idx="11">
                  <c:v>10036091.7838</c:v>
                </c:pt>
                <c:pt idx="12">
                  <c:v>10105176.35551</c:v>
                </c:pt>
                <c:pt idx="13">
                  <c:v>10104866.31986</c:v>
                </c:pt>
                <c:pt idx="14">
                  <c:v>10370860.683119999</c:v>
                </c:pt>
                <c:pt idx="15">
                  <c:v>10273415.78664</c:v>
                </c:pt>
                <c:pt idx="16">
                  <c:v>10222753.1829</c:v>
                </c:pt>
                <c:pt idx="17">
                  <c:v>10245677.47013</c:v>
                </c:pt>
                <c:pt idx="18">
                  <c:v>10282056.887979999</c:v>
                </c:pt>
                <c:pt idx="19">
                  <c:v>10216158.03843</c:v>
                </c:pt>
                <c:pt idx="20">
                  <c:v>10271581.007929999</c:v>
                </c:pt>
                <c:pt idx="21">
                  <c:v>10338867.87781</c:v>
                </c:pt>
                <c:pt idx="22">
                  <c:v>10434880.34296</c:v>
                </c:pt>
                <c:pt idx="23">
                  <c:v>10702596.470690001</c:v>
                </c:pt>
                <c:pt idx="24">
                  <c:v>10703751.83006</c:v>
                </c:pt>
                <c:pt idx="25">
                  <c:v>10774742.46194</c:v>
                </c:pt>
                <c:pt idx="26">
                  <c:v>10949509</c:v>
                </c:pt>
                <c:pt idx="27">
                  <c:v>10860485.37617</c:v>
                </c:pt>
                <c:pt idx="28">
                  <c:v>10831221.47883</c:v>
                </c:pt>
                <c:pt idx="29">
                  <c:v>10928555</c:v>
                </c:pt>
                <c:pt idx="30">
                  <c:v>10910566.779610001</c:v>
                </c:pt>
                <c:pt idx="31">
                  <c:v>10897601.02207</c:v>
                </c:pt>
                <c:pt idx="32">
                  <c:v>10956816.87652</c:v>
                </c:pt>
                <c:pt idx="33">
                  <c:v>11044619.142589999</c:v>
                </c:pt>
                <c:pt idx="34">
                  <c:v>11162193.47978</c:v>
                </c:pt>
                <c:pt idx="35">
                  <c:v>11582087.1494</c:v>
                </c:pt>
                <c:pt idx="36">
                  <c:v>11468976.862260001</c:v>
                </c:pt>
                <c:pt idx="37">
                  <c:v>11643716.860269999</c:v>
                </c:pt>
                <c:pt idx="38">
                  <c:v>11891314.26997</c:v>
                </c:pt>
                <c:pt idx="39">
                  <c:v>11956336.16382</c:v>
                </c:pt>
                <c:pt idx="40">
                  <c:v>12143120.669749999</c:v>
                </c:pt>
                <c:pt idx="41">
                  <c:v>12382791.6209</c:v>
                </c:pt>
                <c:pt idx="42">
                  <c:v>12369350.004070001</c:v>
                </c:pt>
                <c:pt idx="43">
                  <c:v>12458657.89222</c:v>
                </c:pt>
                <c:pt idx="44">
                  <c:v>12629874.7859</c:v>
                </c:pt>
                <c:pt idx="45">
                  <c:v>12883403.90972</c:v>
                </c:pt>
                <c:pt idx="46">
                  <c:v>12947813.299459999</c:v>
                </c:pt>
                <c:pt idx="47">
                  <c:v>13306853.04999</c:v>
                </c:pt>
                <c:pt idx="48">
                  <c:v>13337536.22291</c:v>
                </c:pt>
                <c:pt idx="49">
                  <c:v>13450268.705229999</c:v>
                </c:pt>
                <c:pt idx="50">
                  <c:v>13675235.32622</c:v>
                </c:pt>
                <c:pt idx="51">
                  <c:v>13859446.828129999</c:v>
                </c:pt>
                <c:pt idx="52">
                  <c:v>14009694.99516</c:v>
                </c:pt>
                <c:pt idx="53">
                  <c:v>14383718.157679999</c:v>
                </c:pt>
                <c:pt idx="54">
                  <c:v>14787123.3993</c:v>
                </c:pt>
                <c:pt idx="55">
                  <c:v>14917311.568299999</c:v>
                </c:pt>
                <c:pt idx="56">
                  <c:v>15151314.188239999</c:v>
                </c:pt>
                <c:pt idx="57">
                  <c:v>15584525.6</c:v>
                </c:pt>
                <c:pt idx="58">
                  <c:v>15825455.710000001</c:v>
                </c:pt>
                <c:pt idx="59">
                  <c:v>15961943.970000001</c:v>
                </c:pt>
                <c:pt idx="60">
                  <c:v>16043591.800000001</c:v>
                </c:pt>
                <c:pt idx="61">
                  <c:v>16214134.77</c:v>
                </c:pt>
                <c:pt idx="62">
                  <c:v>16587041.810000001</c:v>
                </c:pt>
                <c:pt idx="63">
                  <c:v>16491796.34</c:v>
                </c:pt>
                <c:pt idx="64">
                  <c:v>16784076.140000001</c:v>
                </c:pt>
                <c:pt idx="65">
                  <c:v>16880782.199999999</c:v>
                </c:pt>
                <c:pt idx="66">
                  <c:v>16814792.059999999</c:v>
                </c:pt>
                <c:pt idx="67">
                  <c:v>16945162.140000001</c:v>
                </c:pt>
                <c:pt idx="68">
                  <c:v>17125052</c:v>
                </c:pt>
                <c:pt idx="69">
                  <c:v>17419531.890000001</c:v>
                </c:pt>
                <c:pt idx="70">
                  <c:v>17508956</c:v>
                </c:pt>
                <c:pt idx="71">
                  <c:v>17743037.780000001</c:v>
                </c:pt>
                <c:pt idx="72">
                  <c:v>17868478.530000001</c:v>
                </c:pt>
                <c:pt idx="73">
                  <c:v>18125412.600000001</c:v>
                </c:pt>
                <c:pt idx="74">
                  <c:v>18401354.280000001</c:v>
                </c:pt>
                <c:pt idx="75">
                  <c:v>18286312.850000001</c:v>
                </c:pt>
                <c:pt idx="76">
                  <c:v>18287376.710000001</c:v>
                </c:pt>
                <c:pt idx="77">
                  <c:v>18486199.73</c:v>
                </c:pt>
                <c:pt idx="78">
                  <c:v>18501377</c:v>
                </c:pt>
                <c:pt idx="79">
                  <c:v>18644997.25</c:v>
                </c:pt>
                <c:pt idx="80">
                  <c:v>18902933.600000001</c:v>
                </c:pt>
                <c:pt idx="81">
                  <c:v>19390499.710000001</c:v>
                </c:pt>
                <c:pt idx="82">
                  <c:v>19527313.07</c:v>
                </c:pt>
                <c:pt idx="83">
                  <c:v>20322515.469999999</c:v>
                </c:pt>
                <c:pt idx="84">
                  <c:v>20475381.960000001</c:v>
                </c:pt>
                <c:pt idx="85">
                  <c:v>20754077.690000001</c:v>
                </c:pt>
                <c:pt idx="86">
                  <c:v>21361434.739999998</c:v>
                </c:pt>
                <c:pt idx="87">
                  <c:v>21211828.309999999</c:v>
                </c:pt>
                <c:pt idx="88">
                  <c:v>21515965.07</c:v>
                </c:pt>
                <c:pt idx="89">
                  <c:v>21928364.690000001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A1-4F1F-A67E-638A06AC2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791044"/>
        <c:axId val="21318966"/>
      </c:lineChart>
      <c:dateAx>
        <c:axId val="9579104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8966"/>
        <c:crosses val="autoZero"/>
        <c:auto val="1"/>
        <c:lblOffset val="100"/>
        <c:baseTimeUnit val="months"/>
      </c:dateAx>
      <c:valAx>
        <c:axId val="21318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Rs. Crore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91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Month-on-month growth of log(Gross Bank Credit), %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Analysis'!$E$4</c:f>
              <c:strCache>
                <c:ptCount val="1"/>
                <c:pt idx="0">
                  <c:v>MoM growth (log-diff, 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Analysis'!$A$5:$A$94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'Growth Analysis'!$E$5:$E$94</c:f>
              <c:numCache>
                <c:formatCode>0.00</c:formatCode>
                <c:ptCount val="90"/>
                <c:pt idx="1">
                  <c:v>1.148596643488986</c:v>
                </c:pt>
                <c:pt idx="2">
                  <c:v>3.4498005509604468</c:v>
                </c:pt>
                <c:pt idx="3">
                  <c:v>-1.5550205110987037</c:v>
                </c:pt>
                <c:pt idx="4">
                  <c:v>6.2309720338049601E-3</c:v>
                </c:pt>
                <c:pt idx="5">
                  <c:v>0.28254123798738817</c:v>
                </c:pt>
                <c:pt idx="6">
                  <c:v>9.9542656599282964E-2</c:v>
                </c:pt>
                <c:pt idx="7">
                  <c:v>0.22520603307718545</c:v>
                </c:pt>
                <c:pt idx="8">
                  <c:v>0.89166405492910883</c:v>
                </c:pt>
                <c:pt idx="9">
                  <c:v>0.75184617985861735</c:v>
                </c:pt>
                <c:pt idx="10">
                  <c:v>0.20040077329532835</c:v>
                </c:pt>
                <c:pt idx="11">
                  <c:v>1.767091105313412</c:v>
                </c:pt>
                <c:pt idx="12">
                  <c:v>0.68600290864111457</c:v>
                </c:pt>
                <c:pt idx="13">
                  <c:v>-3.0681345410954464E-3</c:v>
                </c:pt>
                <c:pt idx="14">
                  <c:v>2.5982894545535373</c:v>
                </c:pt>
                <c:pt idx="15">
                  <c:v>-0.94404490590243029</c:v>
                </c:pt>
                <c:pt idx="16">
                  <c:v>-0.4943626976899651</c:v>
                </c:pt>
                <c:pt idx="17">
                  <c:v>0.22399662391059394</c:v>
                </c:pt>
                <c:pt idx="18">
                  <c:v>0.35444199833527534</c:v>
                </c:pt>
                <c:pt idx="19">
                  <c:v>-0.64297380836677576</c:v>
                </c:pt>
                <c:pt idx="20">
                  <c:v>0.54103680811223853</c:v>
                </c:pt>
                <c:pt idx="21">
                  <c:v>0.6529417123122272</c:v>
                </c:pt>
                <c:pt idx="22">
                  <c:v>0.92437000569489669</c:v>
                </c:pt>
                <c:pt idx="23">
                  <c:v>2.5332299273326697</c:v>
                </c:pt>
                <c:pt idx="24">
                  <c:v>1.0794548933645842E-2</c:v>
                </c:pt>
                <c:pt idx="25">
                  <c:v>0.6610415928108182</c:v>
                </c:pt>
                <c:pt idx="26">
                  <c:v>1.6089880814426749</c:v>
                </c:pt>
                <c:pt idx="27">
                  <c:v>-0.81636076291573545</c:v>
                </c:pt>
                <c:pt idx="28">
                  <c:v>-0.26981661968150661</c:v>
                </c:pt>
                <c:pt idx="29">
                  <c:v>0.89462472595371878</c:v>
                </c:pt>
                <c:pt idx="30">
                  <c:v>-0.16473395440961269</c:v>
                </c:pt>
                <c:pt idx="31">
                  <c:v>-0.11890736705240101</c:v>
                </c:pt>
                <c:pt idx="32">
                  <c:v>0.54191330687203276</c:v>
                </c:pt>
                <c:pt idx="33">
                  <c:v>0.79815455785734457</c:v>
                </c:pt>
                <c:pt idx="34">
                  <c:v>1.0589132066701978</c:v>
                </c:pt>
                <c:pt idx="35">
                  <c:v>3.6927207323184774</c:v>
                </c:pt>
                <c:pt idx="36">
                  <c:v>-0.98139673659254356</c:v>
                </c:pt>
                <c:pt idx="37">
                  <c:v>1.5120983260086263</c:v>
                </c:pt>
                <c:pt idx="38">
                  <c:v>2.10415311110701</c:v>
                </c:pt>
                <c:pt idx="39">
                  <c:v>0.54531204369610009</c:v>
                </c:pt>
                <c:pt idx="40">
                  <c:v>1.5501448641394688</c:v>
                </c:pt>
                <c:pt idx="41">
                  <c:v>1.9544926840602272</c:v>
                </c:pt>
                <c:pt idx="42">
                  <c:v>-0.10860973854285305</c:v>
                </c:pt>
                <c:pt idx="43">
                  <c:v>0.71941553834413696</c:v>
                </c:pt>
                <c:pt idx="44">
                  <c:v>1.3649228038250527</c:v>
                </c:pt>
                <c:pt idx="45">
                  <c:v>1.9874942174624266</c:v>
                </c:pt>
                <c:pt idx="46">
                  <c:v>0.49869522372993913</c:v>
                </c:pt>
                <c:pt idx="47">
                  <c:v>2.7352252736825733</c:v>
                </c:pt>
                <c:pt idx="48">
                  <c:v>0.23031630538881132</c:v>
                </c:pt>
                <c:pt idx="49">
                  <c:v>0.8416751438581116</c:v>
                </c:pt>
                <c:pt idx="50">
                  <c:v>1.6587472726396157</c:v>
                </c:pt>
                <c:pt idx="51">
                  <c:v>1.338052491624353</c:v>
                </c:pt>
                <c:pt idx="52">
                  <c:v>1.0782508027354254</c:v>
                </c:pt>
                <c:pt idx="53">
                  <c:v>2.6347293780382586</c:v>
                </c:pt>
                <c:pt idx="54">
                  <c:v>2.765987809456405</c:v>
                </c:pt>
                <c:pt idx="55">
                  <c:v>0.87656272700122884</c:v>
                </c:pt>
                <c:pt idx="56">
                  <c:v>1.5564884544332358</c:v>
                </c:pt>
                <c:pt idx="57">
                  <c:v>2.8191199939232803</c:v>
                </c:pt>
                <c:pt idx="58">
                  <c:v>1.5341291225237086</c:v>
                </c:pt>
                <c:pt idx="59">
                  <c:v>0.85876227798422633</c:v>
                </c:pt>
                <c:pt idx="60">
                  <c:v>0.51021178152019786</c:v>
                </c:pt>
                <c:pt idx="61">
                  <c:v>1.0573873432498715</c:v>
                </c:pt>
                <c:pt idx="62">
                  <c:v>2.2738398185826014</c:v>
                </c:pt>
                <c:pt idx="63">
                  <c:v>-0.57587109187302588</c:v>
                </c:pt>
                <c:pt idx="64">
                  <c:v>1.7567522356252141</c:v>
                </c:pt>
                <c:pt idx="65">
                  <c:v>0.57452388498084872</c:v>
                </c:pt>
                <c:pt idx="66">
                  <c:v>-0.39168481805695876</c:v>
                </c:pt>
                <c:pt idx="67">
                  <c:v>0.77233948413528708</c:v>
                </c:pt>
                <c:pt idx="68">
                  <c:v>1.056004702248714</c:v>
                </c:pt>
                <c:pt idx="69">
                  <c:v>1.7049678437047078</c:v>
                </c:pt>
                <c:pt idx="70">
                  <c:v>0.51204223706271534</c:v>
                </c:pt>
                <c:pt idx="71">
                  <c:v>1.3280679781896509</c:v>
                </c:pt>
                <c:pt idx="72">
                  <c:v>0.70449832985666205</c:v>
                </c:pt>
                <c:pt idx="73">
                  <c:v>1.4276780091403651</c:v>
                </c:pt>
                <c:pt idx="74">
                  <c:v>1.5109299460775105</c:v>
                </c:pt>
                <c:pt idx="75">
                  <c:v>-0.62714157674115256</c:v>
                </c:pt>
                <c:pt idx="76">
                  <c:v>5.8176247083707722E-3</c:v>
                </c:pt>
                <c:pt idx="77">
                  <c:v>1.0813468616714061</c:v>
                </c:pt>
                <c:pt idx="78">
                  <c:v>8.2066857002160987E-2</c:v>
                </c:pt>
                <c:pt idx="79">
                  <c:v>0.77327043913939519</c:v>
                </c:pt>
                <c:pt idx="80">
                  <c:v>1.3739260813764531</c:v>
                </c:pt>
                <c:pt idx="81">
                  <c:v>2.5466113502286447</c:v>
                </c:pt>
                <c:pt idx="82">
                  <c:v>0.70309153483485431</c:v>
                </c:pt>
                <c:pt idx="83">
                  <c:v>3.9915252060996664</c:v>
                </c:pt>
                <c:pt idx="84">
                  <c:v>0.74938766466416951</c:v>
                </c:pt>
                <c:pt idx="85">
                  <c:v>1.3519458040665455</c:v>
                </c:pt>
                <c:pt idx="86">
                  <c:v>2.8844438761030489</c:v>
                </c:pt>
                <c:pt idx="87">
                  <c:v>-0.70282160731487409</c:v>
                </c:pt>
                <c:pt idx="88">
                  <c:v>1.4236255727926306</c:v>
                </c:pt>
                <c:pt idx="89">
                  <c:v>1.898576914324579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7B-4857-B66E-614F481BC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814347"/>
        <c:axId val="58024740"/>
      </c:lineChart>
      <c:dateAx>
        <c:axId val="75814347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024740"/>
        <c:crosses val="autoZero"/>
        <c:auto val="1"/>
        <c:lblOffset val="100"/>
        <c:baseTimeUnit val="months"/>
      </c:dateAx>
      <c:valAx>
        <c:axId val="58024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143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12-month rolling std. dev. of MoM growth (volatility regime)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Analysis'!$G$4</c:f>
              <c:strCache>
                <c:ptCount val="1"/>
                <c:pt idx="0">
                  <c:v>12-mo rolling std dev of MoM growth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'Growth Analysis'!$A$5:$A$94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'Growth Analysis'!$G$5:$G$94</c:f>
              <c:numCache>
                <c:formatCode>General</c:formatCode>
                <c:ptCount val="90"/>
                <c:pt idx="12" formatCode="0.000">
                  <c:v>1.1870759887578242</c:v>
                </c:pt>
                <c:pt idx="13" formatCode="0.000">
                  <c:v>1.1907810982801736</c:v>
                </c:pt>
                <c:pt idx="14" formatCode="0.000">
                  <c:v>1.0158955303850388</c:v>
                </c:pt>
                <c:pt idx="15" formatCode="0.000">
                  <c:v>0.91395977961007591</c:v>
                </c:pt>
                <c:pt idx="16" formatCode="0.000">
                  <c:v>0.95152881092341968</c:v>
                </c:pt>
                <c:pt idx="17" formatCode="0.000">
                  <c:v>0.95292268358758558</c:v>
                </c:pt>
                <c:pt idx="18" formatCode="0.000">
                  <c:v>0.9459951804487059</c:v>
                </c:pt>
                <c:pt idx="19" formatCode="0.000">
                  <c:v>1.0022382148826816</c:v>
                </c:pt>
                <c:pt idx="20" formatCode="0.000">
                  <c:v>0.99323370838330938</c:v>
                </c:pt>
                <c:pt idx="21" formatCode="0.000">
                  <c:v>0.99063560057378841</c:v>
                </c:pt>
                <c:pt idx="22" formatCode="0.000">
                  <c:v>0.99861411162663305</c:v>
                </c:pt>
                <c:pt idx="23" formatCode="0.000">
                  <c:v>1.1074976291455776</c:v>
                </c:pt>
                <c:pt idx="24" formatCode="0.000">
                  <c:v>1.1162912558562912</c:v>
                </c:pt>
                <c:pt idx="25" formatCode="0.000">
                  <c:v>1.1066093833292849</c:v>
                </c:pt>
                <c:pt idx="26" formatCode="0.000">
                  <c:v>0.96695165859761001</c:v>
                </c:pt>
                <c:pt idx="27" formatCode="0.000">
                  <c:v>0.95075441159263374</c:v>
                </c:pt>
                <c:pt idx="28" formatCode="0.000">
                  <c:v>0.93222635596322534</c:v>
                </c:pt>
                <c:pt idx="29" formatCode="0.000">
                  <c:v>0.93546191138428036</c:v>
                </c:pt>
                <c:pt idx="30" formatCode="0.000">
                  <c:v>0.9564774283114631</c:v>
                </c:pt>
                <c:pt idx="31" formatCode="0.000">
                  <c:v>0.91069152024900768</c:v>
                </c:pt>
                <c:pt idx="32" formatCode="0.000">
                  <c:v>0.91069181229355922</c:v>
                </c:pt>
                <c:pt idx="33" formatCode="0.000">
                  <c:v>0.91331645647725113</c:v>
                </c:pt>
                <c:pt idx="34" formatCode="0.000">
                  <c:v>0.9191336708043466</c:v>
                </c:pt>
                <c:pt idx="35" formatCode="0.000">
                  <c:v>1.1715449741047037</c:v>
                </c:pt>
                <c:pt idx="36" formatCode="0.000">
                  <c:v>1.2535268052465975</c:v>
                </c:pt>
                <c:pt idx="37" formatCode="0.000">
                  <c:v>1.2825502567733831</c:v>
                </c:pt>
                <c:pt idx="38" formatCode="0.000">
                  <c:v>1.3236441586821428</c:v>
                </c:pt>
                <c:pt idx="39" formatCode="0.000">
                  <c:v>1.2386271987557962</c:v>
                </c:pt>
                <c:pt idx="40" formatCode="0.000">
                  <c:v>1.2065881579686188</c:v>
                </c:pt>
                <c:pt idx="41" formatCode="0.000">
                  <c:v>1.240267757930722</c:v>
                </c:pt>
                <c:pt idx="42" formatCode="0.000">
                  <c:v>1.2354036081019022</c:v>
                </c:pt>
                <c:pt idx="43" formatCode="0.000">
                  <c:v>1.1862832070019103</c:v>
                </c:pt>
                <c:pt idx="44" formatCode="0.000">
                  <c:v>1.1738255648411458</c:v>
                </c:pt>
                <c:pt idx="45" formatCode="0.000">
                  <c:v>1.1883877435580898</c:v>
                </c:pt>
                <c:pt idx="46" formatCode="0.000">
                  <c:v>1.20883215465621</c:v>
                </c:pt>
                <c:pt idx="47" formatCode="0.000">
                  <c:v>1.0536091483429282</c:v>
                </c:pt>
                <c:pt idx="48" formatCode="0.000">
                  <c:v>0.87256555482164133</c:v>
                </c:pt>
                <c:pt idx="49" formatCode="0.000">
                  <c:v>0.87625860405318723</c:v>
                </c:pt>
                <c:pt idx="50" formatCode="0.000">
                  <c:v>0.84338439341189908</c:v>
                </c:pt>
                <c:pt idx="51" formatCode="0.000">
                  <c:v>0.82120312483048874</c:v>
                </c:pt>
                <c:pt idx="52" formatCode="0.000">
                  <c:v>0.81580578474140453</c:v>
                </c:pt>
                <c:pt idx="53" formatCode="0.000">
                  <c:v>0.89356517959840198</c:v>
                </c:pt>
                <c:pt idx="54" formatCode="0.000">
                  <c:v>0.88198831914010234</c:v>
                </c:pt>
                <c:pt idx="55" formatCode="0.000">
                  <c:v>0.87063602824727759</c:v>
                </c:pt>
                <c:pt idx="56" formatCode="0.000">
                  <c:v>0.86967207402837221</c:v>
                </c:pt>
                <c:pt idx="57" formatCode="0.000">
                  <c:v>0.94081149236310269</c:v>
                </c:pt>
                <c:pt idx="58" formatCode="0.000">
                  <c:v>0.87735059820823735</c:v>
                </c:pt>
                <c:pt idx="59" formatCode="0.000">
                  <c:v>0.83700326219721222</c:v>
                </c:pt>
                <c:pt idx="60" formatCode="0.000">
                  <c:v>0.80104361793611234</c:v>
                </c:pt>
                <c:pt idx="61" formatCode="0.000">
                  <c:v>0.78624661937882601</c:v>
                </c:pt>
                <c:pt idx="62" formatCode="0.000">
                  <c:v>0.8130495738660749</c:v>
                </c:pt>
                <c:pt idx="63" formatCode="0.000">
                  <c:v>1.0297884951758265</c:v>
                </c:pt>
                <c:pt idx="64" formatCode="0.000">
                  <c:v>1.0261941968609833</c:v>
                </c:pt>
                <c:pt idx="65" formatCode="0.000">
                  <c:v>0.99189417030808191</c:v>
                </c:pt>
                <c:pt idx="66" formatCode="0.000">
                  <c:v>0.99630361692961555</c:v>
                </c:pt>
                <c:pt idx="67" formatCode="0.000">
                  <c:v>0.99860293420542112</c:v>
                </c:pt>
                <c:pt idx="68" formatCode="0.000">
                  <c:v>0.98645813487471545</c:v>
                </c:pt>
                <c:pt idx="69" formatCode="0.000">
                  <c:v>0.84390993824927407</c:v>
                </c:pt>
                <c:pt idx="70" formatCode="0.000">
                  <c:v>0.82856980081155196</c:v>
                </c:pt>
                <c:pt idx="71" formatCode="0.000">
                  <c:v>0.84040150194263585</c:v>
                </c:pt>
                <c:pt idx="72" formatCode="0.000">
                  <c:v>0.83444765332897741</c:v>
                </c:pt>
                <c:pt idx="73" formatCode="0.000">
                  <c:v>0.84763056092593136</c:v>
                </c:pt>
                <c:pt idx="74" formatCode="0.000">
                  <c:v>0.76182695228007169</c:v>
                </c:pt>
                <c:pt idx="75" formatCode="0.000">
                  <c:v>0.77073420777395973</c:v>
                </c:pt>
                <c:pt idx="76" formatCode="0.000">
                  <c:v>0.75117758602087026</c:v>
                </c:pt>
                <c:pt idx="77" formatCode="0.000">
                  <c:v>0.75679836196589634</c:v>
                </c:pt>
                <c:pt idx="78" formatCode="0.000">
                  <c:v>0.70178133663623699</c:v>
                </c:pt>
                <c:pt idx="79" formatCode="0.000">
                  <c:v>0.70177846820344725</c:v>
                </c:pt>
                <c:pt idx="80" formatCode="0.000">
                  <c:v>0.7182678955825752</c:v>
                </c:pt>
                <c:pt idx="81" formatCode="0.000">
                  <c:v>0.8425463931210504</c:v>
                </c:pt>
                <c:pt idx="82" formatCode="0.000">
                  <c:v>0.83647117357028911</c:v>
                </c:pt>
                <c:pt idx="83" formatCode="0.000">
                  <c:v>1.2221717086199828</c:v>
                </c:pt>
                <c:pt idx="84" formatCode="0.000">
                  <c:v>1.2208151074586542</c:v>
                </c:pt>
                <c:pt idx="85" formatCode="0.000">
                  <c:v>1.2193587399406365</c:v>
                </c:pt>
                <c:pt idx="86" formatCode="0.000">
                  <c:v>1.3189144839068574</c:v>
                </c:pt>
                <c:pt idx="87" formatCode="0.000">
                  <c:v>1.3288138311213593</c:v>
                </c:pt>
                <c:pt idx="88" formatCode="0.000">
                  <c:v>1.2712024712545114</c:v>
                </c:pt>
                <c:pt idx="89" formatCode="0.000">
                  <c:v>1.2770940953956751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D0-4918-93FF-C8408704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716162"/>
        <c:axId val="75738214"/>
      </c:lineChart>
      <c:dateAx>
        <c:axId val="1171616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38214"/>
        <c:crosses val="autoZero"/>
        <c:auto val="1"/>
        <c:lblOffset val="100"/>
        <c:baseTimeUnit val="months"/>
      </c:dateAx>
      <c:valAx>
        <c:axId val="75738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Breakpoint scan: total SSR of two-segment trend model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'Breakpoint Scan'!$E$4</c:f>
              <c:strCache>
                <c:ptCount val="1"/>
                <c:pt idx="0">
                  <c:v>Total SSR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'Breakpoint Scan'!$B$5:$B$68</c:f>
              <c:numCache>
                <c:formatCode>yyyy\-mm\-dd</c:formatCode>
                <c:ptCount val="64"/>
                <c:pt idx="0">
                  <c:v>43889</c:v>
                </c:pt>
                <c:pt idx="1">
                  <c:v>43917</c:v>
                </c:pt>
                <c:pt idx="2">
                  <c:v>43945</c:v>
                </c:pt>
                <c:pt idx="3">
                  <c:v>43973</c:v>
                </c:pt>
                <c:pt idx="4">
                  <c:v>44001</c:v>
                </c:pt>
                <c:pt idx="5">
                  <c:v>44043</c:v>
                </c:pt>
                <c:pt idx="6">
                  <c:v>44071</c:v>
                </c:pt>
                <c:pt idx="7">
                  <c:v>44099</c:v>
                </c:pt>
                <c:pt idx="8">
                  <c:v>44127</c:v>
                </c:pt>
                <c:pt idx="9">
                  <c:v>44155</c:v>
                </c:pt>
                <c:pt idx="10">
                  <c:v>44183</c:v>
                </c:pt>
                <c:pt idx="11">
                  <c:v>44225</c:v>
                </c:pt>
                <c:pt idx="12">
                  <c:v>44253</c:v>
                </c:pt>
                <c:pt idx="13">
                  <c:v>44281</c:v>
                </c:pt>
                <c:pt idx="14">
                  <c:v>44309</c:v>
                </c:pt>
                <c:pt idx="15">
                  <c:v>44337</c:v>
                </c:pt>
                <c:pt idx="16">
                  <c:v>44365</c:v>
                </c:pt>
                <c:pt idx="17">
                  <c:v>44407</c:v>
                </c:pt>
                <c:pt idx="18">
                  <c:v>44435</c:v>
                </c:pt>
                <c:pt idx="19">
                  <c:v>44463</c:v>
                </c:pt>
                <c:pt idx="20">
                  <c:v>44491</c:v>
                </c:pt>
                <c:pt idx="21">
                  <c:v>44519</c:v>
                </c:pt>
                <c:pt idx="22">
                  <c:v>44561</c:v>
                </c:pt>
                <c:pt idx="23">
                  <c:v>44589</c:v>
                </c:pt>
                <c:pt idx="24">
                  <c:v>44617</c:v>
                </c:pt>
                <c:pt idx="25">
                  <c:v>44645</c:v>
                </c:pt>
                <c:pt idx="26">
                  <c:v>44673</c:v>
                </c:pt>
                <c:pt idx="27">
                  <c:v>44701</c:v>
                </c:pt>
                <c:pt idx="28">
                  <c:v>44729</c:v>
                </c:pt>
                <c:pt idx="29">
                  <c:v>44771</c:v>
                </c:pt>
                <c:pt idx="30">
                  <c:v>44799</c:v>
                </c:pt>
                <c:pt idx="31">
                  <c:v>44827</c:v>
                </c:pt>
                <c:pt idx="32">
                  <c:v>44855</c:v>
                </c:pt>
                <c:pt idx="33">
                  <c:v>44883</c:v>
                </c:pt>
                <c:pt idx="34">
                  <c:v>44925</c:v>
                </c:pt>
                <c:pt idx="35">
                  <c:v>44953</c:v>
                </c:pt>
                <c:pt idx="36">
                  <c:v>44981</c:v>
                </c:pt>
                <c:pt idx="37">
                  <c:v>45009</c:v>
                </c:pt>
                <c:pt idx="38">
                  <c:v>45037</c:v>
                </c:pt>
                <c:pt idx="39">
                  <c:v>45065</c:v>
                </c:pt>
                <c:pt idx="40">
                  <c:v>45107</c:v>
                </c:pt>
                <c:pt idx="41">
                  <c:v>45135</c:v>
                </c:pt>
                <c:pt idx="42">
                  <c:v>45163</c:v>
                </c:pt>
                <c:pt idx="43">
                  <c:v>45191</c:v>
                </c:pt>
                <c:pt idx="44">
                  <c:v>45219</c:v>
                </c:pt>
                <c:pt idx="45">
                  <c:v>45247</c:v>
                </c:pt>
                <c:pt idx="46">
                  <c:v>45289</c:v>
                </c:pt>
                <c:pt idx="47">
                  <c:v>45317</c:v>
                </c:pt>
                <c:pt idx="48">
                  <c:v>45345</c:v>
                </c:pt>
                <c:pt idx="49">
                  <c:v>45373</c:v>
                </c:pt>
                <c:pt idx="50">
                  <c:v>45401</c:v>
                </c:pt>
                <c:pt idx="51">
                  <c:v>45443</c:v>
                </c:pt>
                <c:pt idx="52">
                  <c:v>45471</c:v>
                </c:pt>
                <c:pt idx="53">
                  <c:v>45499</c:v>
                </c:pt>
                <c:pt idx="54">
                  <c:v>45527</c:v>
                </c:pt>
                <c:pt idx="55">
                  <c:v>45555</c:v>
                </c:pt>
                <c:pt idx="56">
                  <c:v>45583</c:v>
                </c:pt>
                <c:pt idx="57">
                  <c:v>45625</c:v>
                </c:pt>
                <c:pt idx="58">
                  <c:v>45653</c:v>
                </c:pt>
                <c:pt idx="59">
                  <c:v>45681</c:v>
                </c:pt>
                <c:pt idx="60">
                  <c:v>45709</c:v>
                </c:pt>
                <c:pt idx="61">
                  <c:v>45737</c:v>
                </c:pt>
                <c:pt idx="62">
                  <c:v>45765</c:v>
                </c:pt>
                <c:pt idx="63">
                  <c:v>45807</c:v>
                </c:pt>
              </c:numCache>
            </c:numRef>
          </c:cat>
          <c:val>
            <c:numRef>
              <c:f>'Breakpoint Scan'!$E$5:$E$68</c:f>
              <c:numCache>
                <c:formatCode>0.000000</c:formatCode>
                <c:ptCount val="64"/>
                <c:pt idx="0">
                  <c:v>7.4378461101496429E-2</c:v>
                </c:pt>
                <c:pt idx="1">
                  <c:v>6.8738344072684116E-2</c:v>
                </c:pt>
                <c:pt idx="2">
                  <c:v>6.0179428792543406E-2</c:v>
                </c:pt>
                <c:pt idx="3">
                  <c:v>5.3951337559577685E-2</c:v>
                </c:pt>
                <c:pt idx="4">
                  <c:v>4.9537422852356031E-2</c:v>
                </c:pt>
                <c:pt idx="5">
                  <c:v>4.5837508159256107E-2</c:v>
                </c:pt>
                <c:pt idx="6">
                  <c:v>4.2653424312176155E-2</c:v>
                </c:pt>
                <c:pt idx="7">
                  <c:v>4.1188615991304231E-2</c:v>
                </c:pt>
                <c:pt idx="8">
                  <c:v>3.9899003341544198E-2</c:v>
                </c:pt>
                <c:pt idx="9">
                  <c:v>3.8710156343964339E-2</c:v>
                </c:pt>
                <c:pt idx="10">
                  <c:v>3.7440197562293068E-2</c:v>
                </c:pt>
                <c:pt idx="11">
                  <c:v>3.4931835332831174E-2</c:v>
                </c:pt>
                <c:pt idx="12">
                  <c:v>3.308188591106586E-2</c:v>
                </c:pt>
                <c:pt idx="13">
                  <c:v>3.1439137175925544E-2</c:v>
                </c:pt>
                <c:pt idx="14">
                  <c:v>2.9386510384549598E-2</c:v>
                </c:pt>
                <c:pt idx="15">
                  <c:v>2.8408969103423325E-2</c:v>
                </c:pt>
                <c:pt idx="16">
                  <c:v>2.8084247846590277E-2</c:v>
                </c:pt>
                <c:pt idx="17">
                  <c:v>2.7799715397730181E-2</c:v>
                </c:pt>
                <c:pt idx="18">
                  <c:v>2.7826531326782328E-2</c:v>
                </c:pt>
                <c:pt idx="19">
                  <c:v>2.7879479652455384E-2</c:v>
                </c:pt>
                <c:pt idx="20">
                  <c:v>2.7708255868548373E-2</c:v>
                </c:pt>
                <c:pt idx="21">
                  <c:v>2.7278673859755381E-2</c:v>
                </c:pt>
                <c:pt idx="22">
                  <c:v>2.6685742694187067E-2</c:v>
                </c:pt>
                <c:pt idx="23">
                  <c:v>2.7610097557475399E-2</c:v>
                </c:pt>
                <c:pt idx="24">
                  <c:v>2.728209488442036E-2</c:v>
                </c:pt>
                <c:pt idx="25">
                  <c:v>2.7313544582621779E-2</c:v>
                </c:pt>
                <c:pt idx="26">
                  <c:v>2.8330251961454393E-2</c:v>
                </c:pt>
                <c:pt idx="27">
                  <c:v>2.8899058862286942E-2</c:v>
                </c:pt>
                <c:pt idx="28">
                  <c:v>3.0013283319928946E-2</c:v>
                </c:pt>
                <c:pt idx="29">
                  <c:v>3.2152139460479623E-2</c:v>
                </c:pt>
                <c:pt idx="30">
                  <c:v>3.2893822117360388E-2</c:v>
                </c:pt>
                <c:pt idx="31">
                  <c:v>3.31300324623795E-2</c:v>
                </c:pt>
                <c:pt idx="32">
                  <c:v>3.3659664021098101E-2</c:v>
                </c:pt>
                <c:pt idx="33">
                  <c:v>3.5400989896236523E-2</c:v>
                </c:pt>
                <c:pt idx="34">
                  <c:v>3.6130348046076788E-2</c:v>
                </c:pt>
                <c:pt idx="35">
                  <c:v>3.9325125986963083E-2</c:v>
                </c:pt>
                <c:pt idx="36">
                  <c:v>4.0957196085754433E-2</c:v>
                </c:pt>
                <c:pt idx="37">
                  <c:v>4.1957309528743547E-2</c:v>
                </c:pt>
                <c:pt idx="38">
                  <c:v>4.3705559447184461E-2</c:v>
                </c:pt>
                <c:pt idx="39">
                  <c:v>4.5627844705987686E-2</c:v>
                </c:pt>
                <c:pt idx="40">
                  <c:v>4.7209079253876629E-2</c:v>
                </c:pt>
                <c:pt idx="41">
                  <c:v>5.1443903017401538E-2</c:v>
                </c:pt>
                <c:pt idx="42">
                  <c:v>5.8544082284795962E-2</c:v>
                </c:pt>
                <c:pt idx="43">
                  <c:v>6.4787453861757591E-2</c:v>
                </c:pt>
                <c:pt idx="44">
                  <c:v>7.1477385663869394E-2</c:v>
                </c:pt>
                <c:pt idx="45">
                  <c:v>8.0751729977274075E-2</c:v>
                </c:pt>
                <c:pt idx="46">
                  <c:v>9.0017062927523317E-2</c:v>
                </c:pt>
                <c:pt idx="47">
                  <c:v>9.8153083754206491E-2</c:v>
                </c:pt>
                <c:pt idx="48">
                  <c:v>0.10481652996917162</c:v>
                </c:pt>
                <c:pt idx="49">
                  <c:v>0.11092463709183946</c:v>
                </c:pt>
                <c:pt idx="50">
                  <c:v>0.11787229953441565</c:v>
                </c:pt>
                <c:pt idx="51">
                  <c:v>0.12234947382075774</c:v>
                </c:pt>
                <c:pt idx="52">
                  <c:v>0.12704401619336178</c:v>
                </c:pt>
                <c:pt idx="53">
                  <c:v>0.13077597259022244</c:v>
                </c:pt>
                <c:pt idx="54">
                  <c:v>0.13305926504725682</c:v>
                </c:pt>
                <c:pt idx="55">
                  <c:v>0.13498966730407808</c:v>
                </c:pt>
                <c:pt idx="56">
                  <c:v>0.13679525548663563</c:v>
                </c:pt>
                <c:pt idx="57">
                  <c:v>0.13883123557595803</c:v>
                </c:pt>
                <c:pt idx="58">
                  <c:v>0.14036592606439338</c:v>
                </c:pt>
                <c:pt idx="59">
                  <c:v>0.1418467702234556</c:v>
                </c:pt>
                <c:pt idx="60">
                  <c:v>0.14297880063570312</c:v>
                </c:pt>
                <c:pt idx="61">
                  <c:v>0.14399460808769646</c:v>
                </c:pt>
                <c:pt idx="62">
                  <c:v>0.14468050006565278</c:v>
                </c:pt>
                <c:pt idx="63">
                  <c:v>0.14483993096186334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D1-4AE5-8ED5-4FCAFBF64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055988"/>
        <c:axId val="11330818"/>
      </c:lineChart>
      <c:dateAx>
        <c:axId val="2405598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30818"/>
        <c:crosses val="autoZero"/>
        <c:auto val="1"/>
        <c:lblOffset val="100"/>
        <c:baseTimeUnit val="months"/>
      </c:dateAx>
      <c:valAx>
        <c:axId val="113308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Sum of squared residuals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55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Sector share of Non-food Bank Credit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'Sector Composition'!$C$4</c:f>
              <c:strCache>
                <c:ptCount val="1"/>
                <c:pt idx="0">
                  <c:v>Agriculture (%)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'Sector Composition'!$A$5:$A$94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'Sector Composition'!$C$5:$C$94</c:f>
              <c:numCache>
                <c:formatCode>0.00</c:formatCode>
                <c:ptCount val="90"/>
                <c:pt idx="0">
                  <c:v>11.698729366651451</c:v>
                </c:pt>
                <c:pt idx="1">
                  <c:v>11.66278469530001</c:v>
                </c:pt>
                <c:pt idx="2">
                  <c:v>11.439404993136213</c:v>
                </c:pt>
                <c:pt idx="3">
                  <c:v>11.554356284889488</c:v>
                </c:pt>
                <c:pt idx="4">
                  <c:v>11.513303765055181</c:v>
                </c:pt>
                <c:pt idx="5">
                  <c:v>11.477743633460838</c:v>
                </c:pt>
                <c:pt idx="6">
                  <c:v>11.543503948143</c:v>
                </c:pt>
                <c:pt idx="7">
                  <c:v>11.528381646080438</c:v>
                </c:pt>
                <c:pt idx="8">
                  <c:v>11.569973538442715</c:v>
                </c:pt>
                <c:pt idx="9">
                  <c:v>12.021534665179448</c:v>
                </c:pt>
                <c:pt idx="10">
                  <c:v>12.039150203383954</c:v>
                </c:pt>
                <c:pt idx="11">
                  <c:v>11.833987793155961</c:v>
                </c:pt>
                <c:pt idx="12">
                  <c:v>11.938448073602691</c:v>
                </c:pt>
                <c:pt idx="13">
                  <c:v>11.961400340835999</c:v>
                </c:pt>
                <c:pt idx="14">
                  <c:v>11.659700586682623</c:v>
                </c:pt>
                <c:pt idx="15">
                  <c:v>11.815832959373616</c:v>
                </c:pt>
                <c:pt idx="16">
                  <c:v>11.957729461496385</c:v>
                </c:pt>
                <c:pt idx="17">
                  <c:v>11.829205946094552</c:v>
                </c:pt>
                <c:pt idx="18">
                  <c:v>11.915042414191859</c:v>
                </c:pt>
                <c:pt idx="19">
                  <c:v>11.844215952388829</c:v>
                </c:pt>
                <c:pt idx="20">
                  <c:v>12.203616042705768</c:v>
                </c:pt>
                <c:pt idx="21">
                  <c:v>12.303148974709652</c:v>
                </c:pt>
                <c:pt idx="22">
                  <c:v>12.21730155305333</c:v>
                </c:pt>
                <c:pt idx="23">
                  <c:v>12.07016471914503</c:v>
                </c:pt>
                <c:pt idx="24">
                  <c:v>12.358419521141458</c:v>
                </c:pt>
                <c:pt idx="25">
                  <c:v>12.351510106000225</c:v>
                </c:pt>
                <c:pt idx="26">
                  <c:v>12.211493241145384</c:v>
                </c:pt>
                <c:pt idx="27">
                  <c:v>12.634063102845039</c:v>
                </c:pt>
                <c:pt idx="28">
                  <c:v>12.614251318826772</c:v>
                </c:pt>
                <c:pt idx="29">
                  <c:v>12.523096775520113</c:v>
                </c:pt>
                <c:pt idx="30">
                  <c:v>12.730651057318953</c:v>
                </c:pt>
                <c:pt idx="31">
                  <c:v>12.802622786774002</c:v>
                </c:pt>
                <c:pt idx="32">
                  <c:v>12.927002430464601</c:v>
                </c:pt>
                <c:pt idx="33">
                  <c:v>13.022327378788429</c:v>
                </c:pt>
                <c:pt idx="34">
                  <c:v>12.933877597549792</c:v>
                </c:pt>
                <c:pt idx="35">
                  <c:v>13.013146845007087</c:v>
                </c:pt>
                <c:pt idx="36">
                  <c:v>12.860741733598449</c:v>
                </c:pt>
                <c:pt idx="37">
                  <c:v>12.731123001823283</c:v>
                </c:pt>
                <c:pt idx="38">
                  <c:v>12.643169810908466</c:v>
                </c:pt>
                <c:pt idx="39">
                  <c:v>12.692131674064836</c:v>
                </c:pt>
                <c:pt idx="40">
                  <c:v>12.538642456614543</c:v>
                </c:pt>
                <c:pt idx="41">
                  <c:v>12.445196841184613</c:v>
                </c:pt>
                <c:pt idx="42">
                  <c:v>12.682287868922737</c:v>
                </c:pt>
                <c:pt idx="43">
                  <c:v>12.674912028384098</c:v>
                </c:pt>
                <c:pt idx="44">
                  <c:v>12.66345466532279</c:v>
                </c:pt>
                <c:pt idx="45">
                  <c:v>12.652532808803278</c:v>
                </c:pt>
                <c:pt idx="46">
                  <c:v>12.65702037481663</c:v>
                </c:pt>
                <c:pt idx="47">
                  <c:v>12.583774879554305</c:v>
                </c:pt>
                <c:pt idx="48">
                  <c:v>12.601768905312213</c:v>
                </c:pt>
                <c:pt idx="49">
                  <c:v>12.623450147778531</c:v>
                </c:pt>
                <c:pt idx="50">
                  <c:v>12.642755866305974</c:v>
                </c:pt>
                <c:pt idx="51">
                  <c:v>12.759052335804528</c:v>
                </c:pt>
                <c:pt idx="52">
                  <c:v>12.589149634926622</c:v>
                </c:pt>
                <c:pt idx="53">
                  <c:v>12.812361968791397</c:v>
                </c:pt>
                <c:pt idx="54">
                  <c:v>12.366213431947667</c:v>
                </c:pt>
                <c:pt idx="55">
                  <c:v>12.318570068585176</c:v>
                </c:pt>
                <c:pt idx="56">
                  <c:v>12.308239165068986</c:v>
                </c:pt>
                <c:pt idx="57">
                  <c:v>12.271709371538559</c:v>
                </c:pt>
                <c:pt idx="58">
                  <c:v>12.213333489933083</c:v>
                </c:pt>
                <c:pt idx="59">
                  <c:v>12.507408746908633</c:v>
                </c:pt>
                <c:pt idx="60">
                  <c:v>12.558455544393537</c:v>
                </c:pt>
                <c:pt idx="61">
                  <c:v>12.564712952465825</c:v>
                </c:pt>
                <c:pt idx="62">
                  <c:v>12.504563346895106</c:v>
                </c:pt>
                <c:pt idx="63">
                  <c:v>12.844626516783148</c:v>
                </c:pt>
                <c:pt idx="64">
                  <c:v>12.775131990884578</c:v>
                </c:pt>
                <c:pt idx="65">
                  <c:v>12.818748378004424</c:v>
                </c:pt>
                <c:pt idx="66">
                  <c:v>12.845481958030492</c:v>
                </c:pt>
                <c:pt idx="67">
                  <c:v>12.769099228089697</c:v>
                </c:pt>
                <c:pt idx="68">
                  <c:v>12.670395986853636</c:v>
                </c:pt>
                <c:pt idx="69">
                  <c:v>12.683410722126501</c:v>
                </c:pt>
                <c:pt idx="70">
                  <c:v>12.736307688148187</c:v>
                </c:pt>
                <c:pt idx="71">
                  <c:v>12.659246416516215</c:v>
                </c:pt>
                <c:pt idx="72">
                  <c:v>12.651428096033149</c:v>
                </c:pt>
                <c:pt idx="73">
                  <c:v>12.521830499588891</c:v>
                </c:pt>
                <c:pt idx="74">
                  <c:v>12.448619646752979</c:v>
                </c:pt>
                <c:pt idx="75">
                  <c:v>12.673658839921167</c:v>
                </c:pt>
                <c:pt idx="76">
                  <c:v>12.619132925460658</c:v>
                </c:pt>
                <c:pt idx="77">
                  <c:v>12.517743163253602</c:v>
                </c:pt>
                <c:pt idx="78">
                  <c:v>12.544777760856329</c:v>
                </c:pt>
                <c:pt idx="79">
                  <c:v>12.502169050536521</c:v>
                </c:pt>
                <c:pt idx="80">
                  <c:v>12.523273406949839</c:v>
                </c:pt>
                <c:pt idx="81">
                  <c:v>12.435786917440984</c:v>
                </c:pt>
                <c:pt idx="82">
                  <c:v>12.428582098463634</c:v>
                </c:pt>
                <c:pt idx="83">
                  <c:v>12.400576566122027</c:v>
                </c:pt>
                <c:pt idx="84">
                  <c:v>12.311283936783207</c:v>
                </c:pt>
                <c:pt idx="85">
                  <c:v>12.304308120695957</c:v>
                </c:pt>
                <c:pt idx="86">
                  <c:v>12.419470592395845</c:v>
                </c:pt>
                <c:pt idx="87">
                  <c:v>12.44102150822629</c:v>
                </c:pt>
                <c:pt idx="88">
                  <c:v>12.355531089548435</c:v>
                </c:pt>
                <c:pt idx="89">
                  <c:v>12.359734930501629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1D-4041-8058-D758D6B35C91}"/>
            </c:ext>
          </c:extLst>
        </c:ser>
        <c:ser>
          <c:idx val="1"/>
          <c:order val="1"/>
          <c:tx>
            <c:strRef>
              <c:f>'Sector Composition'!$D$4</c:f>
              <c:strCache>
                <c:ptCount val="1"/>
                <c:pt idx="0">
                  <c:v>Industry (%)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'Sector Composition'!$A$5:$A$94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'Sector Composition'!$D$5:$D$94</c:f>
              <c:numCache>
                <c:formatCode>0.00</c:formatCode>
                <c:ptCount val="90"/>
                <c:pt idx="0">
                  <c:v>29.318960152443978</c:v>
                </c:pt>
                <c:pt idx="1">
                  <c:v>29.272443635863247</c:v>
                </c:pt>
                <c:pt idx="2">
                  <c:v>29.162339542661165</c:v>
                </c:pt>
                <c:pt idx="3">
                  <c:v>29.420993312952863</c:v>
                </c:pt>
                <c:pt idx="4">
                  <c:v>29.002966405131609</c:v>
                </c:pt>
                <c:pt idx="5">
                  <c:v>29.029214488131235</c:v>
                </c:pt>
                <c:pt idx="6">
                  <c:v>28.788852478354805</c:v>
                </c:pt>
                <c:pt idx="7">
                  <c:v>28.458554363547112</c:v>
                </c:pt>
                <c:pt idx="8">
                  <c:v>28.134420837193154</c:v>
                </c:pt>
                <c:pt idx="9">
                  <c:v>29.602732674398457</c:v>
                </c:pt>
                <c:pt idx="10">
                  <c:v>29.343375090145752</c:v>
                </c:pt>
                <c:pt idx="11">
                  <c:v>28.619848908976021</c:v>
                </c:pt>
                <c:pt idx="12">
                  <c:v>28.617262378151086</c:v>
                </c:pt>
                <c:pt idx="13">
                  <c:v>28.600815241949352</c:v>
                </c:pt>
                <c:pt idx="14">
                  <c:v>28.55725972849239</c:v>
                </c:pt>
                <c:pt idx="15">
                  <c:v>28.650997840025994</c:v>
                </c:pt>
                <c:pt idx="16">
                  <c:v>28.63638550460638</c:v>
                </c:pt>
                <c:pt idx="17">
                  <c:v>28.665334096817997</c:v>
                </c:pt>
                <c:pt idx="18">
                  <c:v>28.119526776523713</c:v>
                </c:pt>
                <c:pt idx="19">
                  <c:v>27.832062704815403</c:v>
                </c:pt>
                <c:pt idx="20">
                  <c:v>27.747546447396093</c:v>
                </c:pt>
                <c:pt idx="21">
                  <c:v>27.29495540911601</c:v>
                </c:pt>
                <c:pt idx="22">
                  <c:v>27.234150043793036</c:v>
                </c:pt>
                <c:pt idx="23">
                  <c:v>26.606130062016721</c:v>
                </c:pt>
                <c:pt idx="24">
                  <c:v>27.742327091014651</c:v>
                </c:pt>
                <c:pt idx="25">
                  <c:v>27.805977424141314</c:v>
                </c:pt>
                <c:pt idx="26">
                  <c:v>27.006814173858839</c:v>
                </c:pt>
                <c:pt idx="27">
                  <c:v>27.428728131406732</c:v>
                </c:pt>
                <c:pt idx="28">
                  <c:v>27.536156718981264</c:v>
                </c:pt>
                <c:pt idx="29">
                  <c:v>27.125843273322818</c:v>
                </c:pt>
                <c:pt idx="30">
                  <c:v>27.085351935266804</c:v>
                </c:pt>
                <c:pt idx="31">
                  <c:v>26.985563240048428</c:v>
                </c:pt>
                <c:pt idx="32">
                  <c:v>26.977883744750329</c:v>
                </c:pt>
                <c:pt idx="33">
                  <c:v>26.90398843142086</c:v>
                </c:pt>
                <c:pt idx="34">
                  <c:v>26.87752249179627</c:v>
                </c:pt>
                <c:pt idx="35">
                  <c:v>26.861483455189312</c:v>
                </c:pt>
                <c:pt idx="36">
                  <c:v>26.781035644350283</c:v>
                </c:pt>
                <c:pt idx="37">
                  <c:v>26.803439266261268</c:v>
                </c:pt>
                <c:pt idx="38">
                  <c:v>26.875789941578855</c:v>
                </c:pt>
                <c:pt idx="39">
                  <c:v>26.648301851739326</c:v>
                </c:pt>
                <c:pt idx="40">
                  <c:v>26.4000970895869</c:v>
                </c:pt>
                <c:pt idx="41">
                  <c:v>25.994346403198591</c:v>
                </c:pt>
                <c:pt idx="42">
                  <c:v>26.056483961278133</c:v>
                </c:pt>
                <c:pt idx="43">
                  <c:v>26.004670303123739</c:v>
                </c:pt>
                <c:pt idx="44">
                  <c:v>25.987125496012485</c:v>
                </c:pt>
                <c:pt idx="45">
                  <c:v>25.825588400512306</c:v>
                </c:pt>
                <c:pt idx="46">
                  <c:v>25.80880183950724</c:v>
                </c:pt>
                <c:pt idx="47">
                  <c:v>25.102621264608118</c:v>
                </c:pt>
                <c:pt idx="48">
                  <c:v>24.998648501822572</c:v>
                </c:pt>
                <c:pt idx="49">
                  <c:v>24.760078845494917</c:v>
                </c:pt>
                <c:pt idx="50">
                  <c:v>24.652688330001588</c:v>
                </c:pt>
                <c:pt idx="51">
                  <c:v>24.602812975353373</c:v>
                </c:pt>
                <c:pt idx="52">
                  <c:v>24.233176809947178</c:v>
                </c:pt>
                <c:pt idx="53">
                  <c:v>24.016937731345102</c:v>
                </c:pt>
                <c:pt idx="54">
                  <c:v>22.896462671771374</c:v>
                </c:pt>
                <c:pt idx="55">
                  <c:v>22.981243659065999</c:v>
                </c:pt>
                <c:pt idx="56">
                  <c:v>23.061041418784338</c:v>
                </c:pt>
                <c:pt idx="57">
                  <c:v>22.654994630726002</c:v>
                </c:pt>
                <c:pt idx="58">
                  <c:v>22.538786246491725</c:v>
                </c:pt>
                <c:pt idx="59">
                  <c:v>22.756416741563829</c:v>
                </c:pt>
                <c:pt idx="60">
                  <c:v>22.59292061053582</c:v>
                </c:pt>
                <c:pt idx="61">
                  <c:v>22.537899842676659</c:v>
                </c:pt>
                <c:pt idx="62">
                  <c:v>22.231352343802307</c:v>
                </c:pt>
                <c:pt idx="63">
                  <c:v>22.37923869886853</c:v>
                </c:pt>
                <c:pt idx="64">
                  <c:v>22.318508278033196</c:v>
                </c:pt>
                <c:pt idx="65">
                  <c:v>22.335971455469483</c:v>
                </c:pt>
                <c:pt idx="66">
                  <c:v>22.385485459823183</c:v>
                </c:pt>
                <c:pt idx="67">
                  <c:v>22.398469155022905</c:v>
                </c:pt>
                <c:pt idx="68">
                  <c:v>22.432905775118019</c:v>
                </c:pt>
                <c:pt idx="69">
                  <c:v>21.922739936791295</c:v>
                </c:pt>
                <c:pt idx="70">
                  <c:v>22.059899636275151</c:v>
                </c:pt>
                <c:pt idx="71">
                  <c:v>22.013491836130697</c:v>
                </c:pt>
                <c:pt idx="72">
                  <c:v>21.973405711290731</c:v>
                </c:pt>
                <c:pt idx="73">
                  <c:v>21.660194192297901</c:v>
                </c:pt>
                <c:pt idx="74">
                  <c:v>21.694209003751787</c:v>
                </c:pt>
                <c:pt idx="75">
                  <c:v>21.641548256056989</c:v>
                </c:pt>
                <c:pt idx="76">
                  <c:v>21.593324907409624</c:v>
                </c:pt>
                <c:pt idx="77">
                  <c:v>21.720999151494929</c:v>
                </c:pt>
                <c:pt idx="78">
                  <c:v>21.698787993496019</c:v>
                </c:pt>
                <c:pt idx="79">
                  <c:v>21.812664871638084</c:v>
                </c:pt>
                <c:pt idx="80">
                  <c:v>21.933688017552107</c:v>
                </c:pt>
                <c:pt idx="81">
                  <c:v>21.701201530316954</c:v>
                </c:pt>
                <c:pt idx="82">
                  <c:v>21.696518255504319</c:v>
                </c:pt>
                <c:pt idx="83">
                  <c:v>21.699901972878852</c:v>
                </c:pt>
                <c:pt idx="84">
                  <c:v>21.52599512949385</c:v>
                </c:pt>
                <c:pt idx="85">
                  <c:v>21.513707668633959</c:v>
                </c:pt>
                <c:pt idx="86">
                  <c:v>21.531488265940173</c:v>
                </c:pt>
                <c:pt idx="87">
                  <c:v>21.497776656321573</c:v>
                </c:pt>
                <c:pt idx="88">
                  <c:v>21.628292894103225</c:v>
                </c:pt>
                <c:pt idx="89">
                  <c:v>21.89137431569489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1D-4041-8058-D758D6B35C91}"/>
            </c:ext>
          </c:extLst>
        </c:ser>
        <c:ser>
          <c:idx val="2"/>
          <c:order val="2"/>
          <c:tx>
            <c:strRef>
              <c:f>'Sector Composition'!$E$4</c:f>
              <c:strCache>
                <c:ptCount val="1"/>
                <c:pt idx="0">
                  <c:v>Services (%)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'Sector Composition'!$A$5:$A$94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'Sector Composition'!$E$5:$E$94</c:f>
              <c:numCache>
                <c:formatCode>0.00</c:formatCode>
                <c:ptCount val="90"/>
                <c:pt idx="0">
                  <c:v>23.732051580062681</c:v>
                </c:pt>
                <c:pt idx="1">
                  <c:v>23.661673642970548</c:v>
                </c:pt>
                <c:pt idx="2">
                  <c:v>24.055822838352469</c:v>
                </c:pt>
                <c:pt idx="3">
                  <c:v>23.797208276531833</c:v>
                </c:pt>
                <c:pt idx="4">
                  <c:v>23.353342254738291</c:v>
                </c:pt>
                <c:pt idx="5">
                  <c:v>23.305786402581287</c:v>
                </c:pt>
                <c:pt idx="6">
                  <c:v>23.466906676492854</c:v>
                </c:pt>
                <c:pt idx="7">
                  <c:v>23.592001540831419</c:v>
                </c:pt>
                <c:pt idx="8">
                  <c:v>23.913961289595342</c:v>
                </c:pt>
                <c:pt idx="9">
                  <c:v>25.234787963490714</c:v>
                </c:pt>
                <c:pt idx="10">
                  <c:v>25.236757430846573</c:v>
                </c:pt>
                <c:pt idx="11">
                  <c:v>24.943879496023271</c:v>
                </c:pt>
                <c:pt idx="12">
                  <c:v>25.249323105222064</c:v>
                </c:pt>
                <c:pt idx="13">
                  <c:v>25.25948423207171</c:v>
                </c:pt>
                <c:pt idx="14">
                  <c:v>25.894197372941385</c:v>
                </c:pt>
                <c:pt idx="15">
                  <c:v>25.96935989557285</c:v>
                </c:pt>
                <c:pt idx="16">
                  <c:v>25.707617075909532</c:v>
                </c:pt>
                <c:pt idx="17">
                  <c:v>25.775947671967064</c:v>
                </c:pt>
                <c:pt idx="18">
                  <c:v>25.721470222503719</c:v>
                </c:pt>
                <c:pt idx="19">
                  <c:v>26.034595835315688</c:v>
                </c:pt>
                <c:pt idx="20">
                  <c:v>26.004437257205453</c:v>
                </c:pt>
                <c:pt idx="21">
                  <c:v>25.690780473417576</c:v>
                </c:pt>
                <c:pt idx="22">
                  <c:v>25.592743929358878</c:v>
                </c:pt>
                <c:pt idx="23">
                  <c:v>25.068867353367807</c:v>
                </c:pt>
                <c:pt idx="24">
                  <c:v>26.181721138152774</c:v>
                </c:pt>
                <c:pt idx="25">
                  <c:v>26.349026797615338</c:v>
                </c:pt>
                <c:pt idx="26">
                  <c:v>25.39278231904537</c:v>
                </c:pt>
                <c:pt idx="27">
                  <c:v>25.620425123287298</c:v>
                </c:pt>
                <c:pt idx="28">
                  <c:v>25.594315904842681</c:v>
                </c:pt>
                <c:pt idx="29">
                  <c:v>25.570498705623599</c:v>
                </c:pt>
                <c:pt idx="30">
                  <c:v>25.572800585789459</c:v>
                </c:pt>
                <c:pt idx="31">
                  <c:v>25.365694033709246</c:v>
                </c:pt>
                <c:pt idx="32">
                  <c:v>25.104506880417677</c:v>
                </c:pt>
                <c:pt idx="33">
                  <c:v>25.190306840296138</c:v>
                </c:pt>
                <c:pt idx="34">
                  <c:v>25.13467939587607</c:v>
                </c:pt>
                <c:pt idx="35">
                  <c:v>26.026957785690463</c:v>
                </c:pt>
                <c:pt idx="36">
                  <c:v>26.014586597212912</c:v>
                </c:pt>
                <c:pt idx="37">
                  <c:v>26.101012936692815</c:v>
                </c:pt>
                <c:pt idx="38">
                  <c:v>26.296561874666331</c:v>
                </c:pt>
                <c:pt idx="39">
                  <c:v>26.12221625769428</c:v>
                </c:pt>
                <c:pt idx="40">
                  <c:v>25.905568803036804</c:v>
                </c:pt>
                <c:pt idx="41">
                  <c:v>25.627492104303084</c:v>
                </c:pt>
                <c:pt idx="42">
                  <c:v>26.529147364587491</c:v>
                </c:pt>
                <c:pt idx="43">
                  <c:v>26.237564049137678</c:v>
                </c:pt>
                <c:pt idx="44">
                  <c:v>26.351366654079051</c:v>
                </c:pt>
                <c:pt idx="45">
                  <c:v>26.625406055451794</c:v>
                </c:pt>
                <c:pt idx="46">
                  <c:v>26.500709872114776</c:v>
                </c:pt>
                <c:pt idx="47">
                  <c:v>27.185525990757515</c:v>
                </c:pt>
                <c:pt idx="48">
                  <c:v>27.008720713606504</c:v>
                </c:pt>
                <c:pt idx="49">
                  <c:v>27.089389556914185</c:v>
                </c:pt>
                <c:pt idx="50">
                  <c:v>27.233357749610082</c:v>
                </c:pt>
                <c:pt idx="51">
                  <c:v>27.27718712339647</c:v>
                </c:pt>
                <c:pt idx="52">
                  <c:v>27.198995462795999</c:v>
                </c:pt>
                <c:pt idx="53">
                  <c:v>27.938784924709893</c:v>
                </c:pt>
                <c:pt idx="54">
                  <c:v>27.356107187310407</c:v>
                </c:pt>
                <c:pt idx="55">
                  <c:v>27.361697954907992</c:v>
                </c:pt>
                <c:pt idx="56">
                  <c:v>27.530641289698988</c:v>
                </c:pt>
                <c:pt idx="57">
                  <c:v>27.013866427391349</c:v>
                </c:pt>
                <c:pt idx="58">
                  <c:v>26.956914989981541</c:v>
                </c:pt>
                <c:pt idx="59">
                  <c:v>27.644826093909852</c:v>
                </c:pt>
                <c:pt idx="60">
                  <c:v>27.590478435528453</c:v>
                </c:pt>
                <c:pt idx="61">
                  <c:v>27.649493557511207</c:v>
                </c:pt>
                <c:pt idx="62">
                  <c:v>27.452592806756787</c:v>
                </c:pt>
                <c:pt idx="63">
                  <c:v>27.675170496423757</c:v>
                </c:pt>
                <c:pt idx="64">
                  <c:v>27.664346850178383</c:v>
                </c:pt>
                <c:pt idx="65">
                  <c:v>27.640251172487378</c:v>
                </c:pt>
                <c:pt idx="66">
                  <c:v>27.248667716068642</c:v>
                </c:pt>
                <c:pt idx="67">
                  <c:v>27.144524325786502</c:v>
                </c:pt>
                <c:pt idx="68">
                  <c:v>27.386599575466221</c:v>
                </c:pt>
                <c:pt idx="69">
                  <c:v>27.196496237883483</c:v>
                </c:pt>
                <c:pt idx="70">
                  <c:v>27.485873026129099</c:v>
                </c:pt>
                <c:pt idx="71">
                  <c:v>27.736272311046719</c:v>
                </c:pt>
                <c:pt idx="72">
                  <c:v>27.825825439865842</c:v>
                </c:pt>
                <c:pt idx="73">
                  <c:v>27.626433892828729</c:v>
                </c:pt>
                <c:pt idx="74">
                  <c:v>27.724612354169825</c:v>
                </c:pt>
                <c:pt idx="75">
                  <c:v>27.553935241416134</c:v>
                </c:pt>
                <c:pt idx="76">
                  <c:v>27.560406742217459</c:v>
                </c:pt>
                <c:pt idx="77">
                  <c:v>27.506923059844656</c:v>
                </c:pt>
                <c:pt idx="78">
                  <c:v>27.327303670869625</c:v>
                </c:pt>
                <c:pt idx="79">
                  <c:v>27.237488094221028</c:v>
                </c:pt>
                <c:pt idx="80">
                  <c:v>27.279258801112533</c:v>
                </c:pt>
                <c:pt idx="81">
                  <c:v>27.666720889908785</c:v>
                </c:pt>
                <c:pt idx="82">
                  <c:v>27.559509869314887</c:v>
                </c:pt>
                <c:pt idx="83">
                  <c:v>27.978531535920006</c:v>
                </c:pt>
                <c:pt idx="84">
                  <c:v>28.07291621742236</c:v>
                </c:pt>
                <c:pt idx="85">
                  <c:v>28.095766580457283</c:v>
                </c:pt>
                <c:pt idx="86">
                  <c:v>28.469088114024377</c:v>
                </c:pt>
                <c:pt idx="87">
                  <c:v>28.209889777056752</c:v>
                </c:pt>
                <c:pt idx="88">
                  <c:v>28.276287121100129</c:v>
                </c:pt>
                <c:pt idx="89">
                  <c:v>28.229770434997885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11D-4041-8058-D758D6B35C91}"/>
            </c:ext>
          </c:extLst>
        </c:ser>
        <c:ser>
          <c:idx val="3"/>
          <c:order val="3"/>
          <c:tx>
            <c:strRef>
              <c:f>'Sector Composition'!$F$4</c:f>
              <c:strCache>
                <c:ptCount val="1"/>
                <c:pt idx="0">
                  <c:v>Personal Loans (%)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'Sector Composition'!$A$5:$A$94</c:f>
              <c:numCache>
                <c:formatCode>yyyy\-mm\-dd</c:formatCode>
                <c:ptCount val="90"/>
                <c:pt idx="0">
                  <c:v>43483</c:v>
                </c:pt>
                <c:pt idx="1">
                  <c:v>43511</c:v>
                </c:pt>
                <c:pt idx="2">
                  <c:v>43553</c:v>
                </c:pt>
                <c:pt idx="3">
                  <c:v>43581</c:v>
                </c:pt>
                <c:pt idx="4">
                  <c:v>43609</c:v>
                </c:pt>
                <c:pt idx="5">
                  <c:v>43637</c:v>
                </c:pt>
                <c:pt idx="6">
                  <c:v>43665</c:v>
                </c:pt>
                <c:pt idx="7">
                  <c:v>43707</c:v>
                </c:pt>
                <c:pt idx="8">
                  <c:v>43735</c:v>
                </c:pt>
                <c:pt idx="9">
                  <c:v>43763</c:v>
                </c:pt>
                <c:pt idx="10">
                  <c:v>43791</c:v>
                </c:pt>
                <c:pt idx="11">
                  <c:v>43819</c:v>
                </c:pt>
                <c:pt idx="12">
                  <c:v>43861</c:v>
                </c:pt>
                <c:pt idx="13">
                  <c:v>43889</c:v>
                </c:pt>
                <c:pt idx="14">
                  <c:v>43917</c:v>
                </c:pt>
                <c:pt idx="15">
                  <c:v>43945</c:v>
                </c:pt>
                <c:pt idx="16">
                  <c:v>43973</c:v>
                </c:pt>
                <c:pt idx="17">
                  <c:v>44001</c:v>
                </c:pt>
                <c:pt idx="18">
                  <c:v>44043</c:v>
                </c:pt>
                <c:pt idx="19">
                  <c:v>44071</c:v>
                </c:pt>
                <c:pt idx="20">
                  <c:v>44099</c:v>
                </c:pt>
                <c:pt idx="21">
                  <c:v>44127</c:v>
                </c:pt>
                <c:pt idx="22">
                  <c:v>44155</c:v>
                </c:pt>
                <c:pt idx="23">
                  <c:v>44183</c:v>
                </c:pt>
                <c:pt idx="24">
                  <c:v>44225</c:v>
                </c:pt>
                <c:pt idx="25">
                  <c:v>44253</c:v>
                </c:pt>
                <c:pt idx="26">
                  <c:v>44281</c:v>
                </c:pt>
                <c:pt idx="27">
                  <c:v>44309</c:v>
                </c:pt>
                <c:pt idx="28">
                  <c:v>44337</c:v>
                </c:pt>
                <c:pt idx="29">
                  <c:v>44365</c:v>
                </c:pt>
                <c:pt idx="30">
                  <c:v>44407</c:v>
                </c:pt>
                <c:pt idx="31">
                  <c:v>44435</c:v>
                </c:pt>
                <c:pt idx="32">
                  <c:v>44463</c:v>
                </c:pt>
                <c:pt idx="33">
                  <c:v>44491</c:v>
                </c:pt>
                <c:pt idx="34">
                  <c:v>44519</c:v>
                </c:pt>
                <c:pt idx="35">
                  <c:v>44561</c:v>
                </c:pt>
                <c:pt idx="36">
                  <c:v>44589</c:v>
                </c:pt>
                <c:pt idx="37">
                  <c:v>44617</c:v>
                </c:pt>
                <c:pt idx="38">
                  <c:v>44645</c:v>
                </c:pt>
                <c:pt idx="39">
                  <c:v>44673</c:v>
                </c:pt>
                <c:pt idx="40">
                  <c:v>44701</c:v>
                </c:pt>
                <c:pt idx="41">
                  <c:v>44729</c:v>
                </c:pt>
                <c:pt idx="42">
                  <c:v>44771</c:v>
                </c:pt>
                <c:pt idx="43">
                  <c:v>44799</c:v>
                </c:pt>
                <c:pt idx="44">
                  <c:v>44827</c:v>
                </c:pt>
                <c:pt idx="45">
                  <c:v>44855</c:v>
                </c:pt>
                <c:pt idx="46">
                  <c:v>44883</c:v>
                </c:pt>
                <c:pt idx="47">
                  <c:v>44925</c:v>
                </c:pt>
                <c:pt idx="48">
                  <c:v>44953</c:v>
                </c:pt>
                <c:pt idx="49">
                  <c:v>44981</c:v>
                </c:pt>
                <c:pt idx="50">
                  <c:v>45009</c:v>
                </c:pt>
                <c:pt idx="51">
                  <c:v>45037</c:v>
                </c:pt>
                <c:pt idx="52">
                  <c:v>45065</c:v>
                </c:pt>
                <c:pt idx="53">
                  <c:v>45107</c:v>
                </c:pt>
                <c:pt idx="54">
                  <c:v>45135</c:v>
                </c:pt>
                <c:pt idx="55">
                  <c:v>45163</c:v>
                </c:pt>
                <c:pt idx="56">
                  <c:v>45191</c:v>
                </c:pt>
                <c:pt idx="57">
                  <c:v>45219</c:v>
                </c:pt>
                <c:pt idx="58">
                  <c:v>45247</c:v>
                </c:pt>
                <c:pt idx="59">
                  <c:v>45289</c:v>
                </c:pt>
                <c:pt idx="60">
                  <c:v>45317</c:v>
                </c:pt>
                <c:pt idx="61">
                  <c:v>45345</c:v>
                </c:pt>
                <c:pt idx="62">
                  <c:v>45373</c:v>
                </c:pt>
                <c:pt idx="63">
                  <c:v>45401</c:v>
                </c:pt>
                <c:pt idx="64">
                  <c:v>45443</c:v>
                </c:pt>
                <c:pt idx="65">
                  <c:v>45471</c:v>
                </c:pt>
                <c:pt idx="66">
                  <c:v>45499</c:v>
                </c:pt>
                <c:pt idx="67">
                  <c:v>45527</c:v>
                </c:pt>
                <c:pt idx="68">
                  <c:v>45555</c:v>
                </c:pt>
                <c:pt idx="69">
                  <c:v>45583</c:v>
                </c:pt>
                <c:pt idx="70">
                  <c:v>45625</c:v>
                </c:pt>
                <c:pt idx="71">
                  <c:v>45653</c:v>
                </c:pt>
                <c:pt idx="72">
                  <c:v>45681</c:v>
                </c:pt>
                <c:pt idx="73">
                  <c:v>45709</c:v>
                </c:pt>
                <c:pt idx="74">
                  <c:v>45737</c:v>
                </c:pt>
                <c:pt idx="75">
                  <c:v>45765</c:v>
                </c:pt>
                <c:pt idx="76">
                  <c:v>45807</c:v>
                </c:pt>
                <c:pt idx="77">
                  <c:v>45835</c:v>
                </c:pt>
                <c:pt idx="78">
                  <c:v>45863</c:v>
                </c:pt>
                <c:pt idx="79">
                  <c:v>45891</c:v>
                </c:pt>
                <c:pt idx="80">
                  <c:v>45919</c:v>
                </c:pt>
                <c:pt idx="81">
                  <c:v>45961</c:v>
                </c:pt>
                <c:pt idx="82">
                  <c:v>45989</c:v>
                </c:pt>
                <c:pt idx="83">
                  <c:v>46022</c:v>
                </c:pt>
                <c:pt idx="84">
                  <c:v>46053</c:v>
                </c:pt>
                <c:pt idx="85">
                  <c:v>46081</c:v>
                </c:pt>
                <c:pt idx="86">
                  <c:v>46112</c:v>
                </c:pt>
                <c:pt idx="87">
                  <c:v>46142</c:v>
                </c:pt>
                <c:pt idx="88">
                  <c:v>46173</c:v>
                </c:pt>
                <c:pt idx="89">
                  <c:v>46203</c:v>
                </c:pt>
              </c:numCache>
            </c:numRef>
          </c:cat>
          <c:val>
            <c:numRef>
              <c:f>'Sector Composition'!$F$5:$F$94</c:f>
              <c:numCache>
                <c:formatCode>0.00</c:formatCode>
                <c:ptCount val="90"/>
                <c:pt idx="0">
                  <c:v>24.019817233310942</c:v>
                </c:pt>
                <c:pt idx="1">
                  <c:v>23.956695330605303</c:v>
                </c:pt>
                <c:pt idx="2">
                  <c:v>23.670266951694689</c:v>
                </c:pt>
                <c:pt idx="3">
                  <c:v>24.102432436190892</c:v>
                </c:pt>
                <c:pt idx="4">
                  <c:v>24.293821747253418</c:v>
                </c:pt>
                <c:pt idx="5">
                  <c:v>24.432017914694587</c:v>
                </c:pt>
                <c:pt idx="6">
                  <c:v>24.680352835581697</c:v>
                </c:pt>
                <c:pt idx="7">
                  <c:v>24.827555114050696</c:v>
                </c:pt>
                <c:pt idx="8">
                  <c:v>24.983621773810437</c:v>
                </c:pt>
                <c:pt idx="9">
                  <c:v>26.215928196527479</c:v>
                </c:pt>
                <c:pt idx="10">
                  <c:v>26.398425940709313</c:v>
                </c:pt>
                <c:pt idx="11">
                  <c:v>26.170913511679551</c:v>
                </c:pt>
                <c:pt idx="12">
                  <c:v>26.784299940913709</c:v>
                </c:pt>
                <c:pt idx="13">
                  <c:v>26.95599982384913</c:v>
                </c:pt>
                <c:pt idx="14">
                  <c:v>26.425412570588524</c:v>
                </c:pt>
                <c:pt idx="15">
                  <c:v>26.203323427311904</c:v>
                </c:pt>
                <c:pt idx="16">
                  <c:v>26.049220141991782</c:v>
                </c:pt>
                <c:pt idx="17">
                  <c:v>26.147890415924774</c:v>
                </c:pt>
                <c:pt idx="18">
                  <c:v>26.476997639312859</c:v>
                </c:pt>
                <c:pt idx="19">
                  <c:v>26.663863591027027</c:v>
                </c:pt>
                <c:pt idx="20">
                  <c:v>26.802862138780458</c:v>
                </c:pt>
                <c:pt idx="21">
                  <c:v>27.115850600824448</c:v>
                </c:pt>
                <c:pt idx="22">
                  <c:v>27.254153380270342</c:v>
                </c:pt>
                <c:pt idx="23">
                  <c:v>26.849556944884156</c:v>
                </c:pt>
                <c:pt idx="24">
                  <c:v>27.773940474395104</c:v>
                </c:pt>
                <c:pt idx="25">
                  <c:v>28.033508285997733</c:v>
                </c:pt>
                <c:pt idx="26">
                  <c:v>27.635403221310785</c:v>
                </c:pt>
                <c:pt idx="27">
                  <c:v>28.479448045606361</c:v>
                </c:pt>
                <c:pt idx="28">
                  <c:v>28.373056649668872</c:v>
                </c:pt>
                <c:pt idx="29">
                  <c:v>28.107746662241436</c:v>
                </c:pt>
                <c:pt idx="30">
                  <c:v>28.572020292769718</c:v>
                </c:pt>
                <c:pt idx="31">
                  <c:v>28.852166647929696</c:v>
                </c:pt>
                <c:pt idx="32">
                  <c:v>29.077870111629743</c:v>
                </c:pt>
                <c:pt idx="33">
                  <c:v>29.234755557088132</c:v>
                </c:pt>
                <c:pt idx="34">
                  <c:v>29.339933078764354</c:v>
                </c:pt>
                <c:pt idx="35">
                  <c:v>29.171466062495515</c:v>
                </c:pt>
                <c:pt idx="36">
                  <c:v>29.555706298684427</c:v>
                </c:pt>
                <c:pt idx="37">
                  <c:v>29.493522316106478</c:v>
                </c:pt>
                <c:pt idx="38">
                  <c:v>29.283420542950068</c:v>
                </c:pt>
                <c:pt idx="39">
                  <c:v>29.660859829625526</c:v>
                </c:pt>
                <c:pt idx="40">
                  <c:v>29.420988405065984</c:v>
                </c:pt>
                <c:pt idx="41">
                  <c:v>29.163586325864827</c:v>
                </c:pt>
                <c:pt idx="42">
                  <c:v>29.873730057315278</c:v>
                </c:pt>
                <c:pt idx="43">
                  <c:v>30.090335350411934</c:v>
                </c:pt>
                <c:pt idx="44">
                  <c:v>30.098072488982453</c:v>
                </c:pt>
                <c:pt idx="45">
                  <c:v>30.030634085399548</c:v>
                </c:pt>
                <c:pt idx="46">
                  <c:v>30.175986409381068</c:v>
                </c:pt>
                <c:pt idx="47">
                  <c:v>30.398667752212599</c:v>
                </c:pt>
                <c:pt idx="48">
                  <c:v>30.512819450914346</c:v>
                </c:pt>
                <c:pt idx="49">
                  <c:v>30.631244296139919</c:v>
                </c:pt>
                <c:pt idx="50">
                  <c:v>30.631024721021237</c:v>
                </c:pt>
                <c:pt idx="51">
                  <c:v>30.49371860100128</c:v>
                </c:pt>
                <c:pt idx="52">
                  <c:v>30.336690311692223</c:v>
                </c:pt>
                <c:pt idx="53">
                  <c:v>30.426873031380268</c:v>
                </c:pt>
                <c:pt idx="54">
                  <c:v>32.733741826240831</c:v>
                </c:pt>
                <c:pt idx="55">
                  <c:v>32.730236738965992</c:v>
                </c:pt>
                <c:pt idx="56">
                  <c:v>32.608234013855771</c:v>
                </c:pt>
                <c:pt idx="57">
                  <c:v>32.241936554871515</c:v>
                </c:pt>
                <c:pt idx="58">
                  <c:v>32.151173338665686</c:v>
                </c:pt>
                <c:pt idx="59">
                  <c:v>32.590037924805685</c:v>
                </c:pt>
                <c:pt idx="60">
                  <c:v>32.688470421334451</c:v>
                </c:pt>
                <c:pt idx="61">
                  <c:v>32.640578182770817</c:v>
                </c:pt>
                <c:pt idx="62">
                  <c:v>32.279061880186752</c:v>
                </c:pt>
                <c:pt idx="63">
                  <c:v>32.548273660366064</c:v>
                </c:pt>
                <c:pt idx="64">
                  <c:v>32.681224706988488</c:v>
                </c:pt>
                <c:pt idx="65">
                  <c:v>32.658269415355242</c:v>
                </c:pt>
                <c:pt idx="66">
                  <c:v>32.909043398582</c:v>
                </c:pt>
                <c:pt idx="67">
                  <c:v>32.931012090100445</c:v>
                </c:pt>
                <c:pt idx="68">
                  <c:v>32.818177554494589</c:v>
                </c:pt>
                <c:pt idx="69">
                  <c:v>32.576055247240625</c:v>
                </c:pt>
                <c:pt idx="70">
                  <c:v>32.94981560574238</c:v>
                </c:pt>
                <c:pt idx="71">
                  <c:v>32.864006218957961</c:v>
                </c:pt>
                <c:pt idx="72">
                  <c:v>32.838860940856826</c:v>
                </c:pt>
                <c:pt idx="73">
                  <c:v>32.62098691993824</c:v>
                </c:pt>
                <c:pt idx="74">
                  <c:v>32.504337686998724</c:v>
                </c:pt>
                <c:pt idx="75">
                  <c:v>32.921619082079879</c:v>
                </c:pt>
                <c:pt idx="76">
                  <c:v>33.376704180032533</c:v>
                </c:pt>
                <c:pt idx="77">
                  <c:v>33.358405386962225</c:v>
                </c:pt>
                <c:pt idx="78">
                  <c:v>33.505944769075434</c:v>
                </c:pt>
                <c:pt idx="79">
                  <c:v>33.518256061964507</c:v>
                </c:pt>
                <c:pt idx="80">
                  <c:v>33.268769860779877</c:v>
                </c:pt>
                <c:pt idx="81">
                  <c:v>33.415647486069503</c:v>
                </c:pt>
                <c:pt idx="82">
                  <c:v>33.353459232515789</c:v>
                </c:pt>
                <c:pt idx="83">
                  <c:v>32.933998032044506</c:v>
                </c:pt>
                <c:pt idx="84">
                  <c:v>32.978580661927694</c:v>
                </c:pt>
                <c:pt idx="85">
                  <c:v>32.880398230513705</c:v>
                </c:pt>
                <c:pt idx="86">
                  <c:v>32.594510332204067</c:v>
                </c:pt>
                <c:pt idx="87">
                  <c:v>32.975415381460856</c:v>
                </c:pt>
                <c:pt idx="88">
                  <c:v>32.812826869273842</c:v>
                </c:pt>
                <c:pt idx="89">
                  <c:v>32.636642337930851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11D-4041-8058-D758D6B3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732503"/>
        <c:axId val="85555610"/>
      </c:lineChart>
      <c:dateAx>
        <c:axId val="61732503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55610"/>
        <c:crosses val="autoZero"/>
        <c:auto val="1"/>
        <c:lblOffset val="100"/>
        <c:baseTimeUnit val="months"/>
      </c:dateAx>
      <c:valAx>
        <c:axId val="85555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of Non-food Credit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32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22</xdr:col>
      <xdr:colOff>75960</xdr:colOff>
      <xdr:row>21</xdr:row>
      <xdr:rowOff>138600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160560</xdr:rowOff>
    </xdr:from>
    <xdr:to>
      <xdr:col>22</xdr:col>
      <xdr:colOff>75960</xdr:colOff>
      <xdr:row>41</xdr:row>
      <xdr:rowOff>138240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42</xdr:row>
      <xdr:rowOff>160560</xdr:rowOff>
    </xdr:from>
    <xdr:to>
      <xdr:col>22</xdr:col>
      <xdr:colOff>75960</xdr:colOff>
      <xdr:row>61</xdr:row>
      <xdr:rowOff>138240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20</xdr:col>
      <xdr:colOff>77040</xdr:colOff>
      <xdr:row>23</xdr:row>
      <xdr:rowOff>118440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160920</xdr:rowOff>
    </xdr:from>
    <xdr:to>
      <xdr:col>24</xdr:col>
      <xdr:colOff>185760</xdr:colOff>
      <xdr:row>25</xdr:row>
      <xdr:rowOff>97920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7"/>
  <sheetViews>
    <sheetView zoomScaleNormal="100" workbookViewId="0">
      <pane ySplit="5" topLeftCell="A96" activePane="bottomLeft" state="frozen"/>
      <selection pane="bottomLeft" activeCell="D5" sqref="D5"/>
    </sheetView>
  </sheetViews>
  <sheetFormatPr defaultColWidth="8.6328125" defaultRowHeight="14.5" x14ac:dyDescent="0.35"/>
  <cols>
    <col min="1" max="1" width="64.7265625" style="3" bestFit="1" customWidth="1"/>
    <col min="2" max="2" width="22" style="3" customWidth="1"/>
    <col min="3" max="3" width="24" style="3" customWidth="1"/>
    <col min="4" max="6" width="18" style="3" customWidth="1"/>
  </cols>
  <sheetData>
    <row r="1" spans="1:6" ht="17.25" customHeight="1" x14ac:dyDescent="0.4">
      <c r="A1" s="14" t="s">
        <v>41</v>
      </c>
    </row>
    <row r="2" spans="1:6" ht="15" customHeight="1" x14ac:dyDescent="0.35">
      <c r="A2" s="15"/>
    </row>
    <row r="3" spans="1:6" ht="15" customHeight="1" x14ac:dyDescent="0.35">
      <c r="A3" s="15"/>
    </row>
    <row r="5" spans="1:6" ht="15" customHeight="1" x14ac:dyDescent="0.35">
      <c r="A5" s="6" t="s">
        <v>22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</row>
    <row r="6" spans="1:6" ht="15" customHeight="1" x14ac:dyDescent="0.35">
      <c r="A6" s="18">
        <f>'Growth Analysis'!A5</f>
        <v>43483</v>
      </c>
      <c r="B6" s="23">
        <f>'Growth Analysis'!D5</f>
        <v>16.04901933491854</v>
      </c>
    </row>
    <row r="7" spans="1:6" ht="15" customHeight="1" x14ac:dyDescent="0.35">
      <c r="A7" s="18">
        <f>'Growth Analysis'!A6</f>
        <v>43511</v>
      </c>
      <c r="B7" s="23">
        <f>'Growth Analysis'!D6</f>
        <v>16.06050530135343</v>
      </c>
      <c r="C7" s="20">
        <f t="shared" ref="C7:C38" si="0">B6</f>
        <v>16.04901933491854</v>
      </c>
      <c r="D7" s="20">
        <f t="shared" ref="D7:D38" si="1">B7-C7</f>
        <v>1.148596643488986E-2</v>
      </c>
    </row>
    <row r="8" spans="1:6" ht="15" customHeight="1" x14ac:dyDescent="0.35">
      <c r="A8" s="18">
        <f>'Growth Analysis'!A7</f>
        <v>43553</v>
      </c>
      <c r="B8" s="23">
        <f>'Growth Analysis'!D7</f>
        <v>16.095003306863035</v>
      </c>
      <c r="C8" s="20">
        <f t="shared" si="0"/>
        <v>16.06050530135343</v>
      </c>
      <c r="D8" s="20">
        <f t="shared" si="1"/>
        <v>3.4498005509604468E-2</v>
      </c>
      <c r="E8" s="20">
        <f t="shared" ref="E8:E39" si="2">D7</f>
        <v>1.148596643488986E-2</v>
      </c>
      <c r="F8" s="20">
        <f t="shared" ref="F8:F39" si="3">D8-E8</f>
        <v>2.3012039074714608E-2</v>
      </c>
    </row>
    <row r="9" spans="1:6" ht="15" customHeight="1" x14ac:dyDescent="0.35">
      <c r="A9" s="18">
        <f>'Growth Analysis'!A8</f>
        <v>43581</v>
      </c>
      <c r="B9" s="23">
        <f>'Growth Analysis'!D8</f>
        <v>16.079453101752048</v>
      </c>
      <c r="C9" s="20">
        <f t="shared" si="0"/>
        <v>16.095003306863035</v>
      </c>
      <c r="D9" s="20">
        <f t="shared" si="1"/>
        <v>-1.5550205110987037E-2</v>
      </c>
      <c r="E9" s="20">
        <f t="shared" si="2"/>
        <v>3.4498005509604468E-2</v>
      </c>
      <c r="F9" s="20">
        <f t="shared" si="3"/>
        <v>-5.0048210620591504E-2</v>
      </c>
    </row>
    <row r="10" spans="1:6" ht="15" customHeight="1" x14ac:dyDescent="0.35">
      <c r="A10" s="18">
        <f>'Growth Analysis'!A9</f>
        <v>43609</v>
      </c>
      <c r="B10" s="23">
        <f>'Growth Analysis'!D9</f>
        <v>16.079515411472386</v>
      </c>
      <c r="C10" s="20">
        <f t="shared" si="0"/>
        <v>16.079453101752048</v>
      </c>
      <c r="D10" s="20">
        <f t="shared" si="1"/>
        <v>6.2309720338049601E-5</v>
      </c>
      <c r="E10" s="20">
        <f t="shared" si="2"/>
        <v>-1.5550205110987037E-2</v>
      </c>
      <c r="F10" s="20">
        <f t="shared" si="3"/>
        <v>1.5612514831325086E-2</v>
      </c>
    </row>
    <row r="11" spans="1:6" ht="15" customHeight="1" x14ac:dyDescent="0.35">
      <c r="A11" s="18">
        <f>'Growth Analysis'!A10</f>
        <v>43637</v>
      </c>
      <c r="B11" s="23">
        <f>'Growth Analysis'!D10</f>
        <v>16.08234082385226</v>
      </c>
      <c r="C11" s="20">
        <f t="shared" si="0"/>
        <v>16.079515411472386</v>
      </c>
      <c r="D11" s="20">
        <f t="shared" si="1"/>
        <v>2.8254123798738817E-3</v>
      </c>
      <c r="E11" s="20">
        <f t="shared" si="2"/>
        <v>6.2309720338049601E-5</v>
      </c>
      <c r="F11" s="20">
        <f t="shared" si="3"/>
        <v>2.7631026595358321E-3</v>
      </c>
    </row>
    <row r="12" spans="1:6" ht="15" customHeight="1" x14ac:dyDescent="0.35">
      <c r="A12" s="18">
        <f>'Growth Analysis'!A11</f>
        <v>43665</v>
      </c>
      <c r="B12" s="23">
        <f>'Growth Analysis'!D11</f>
        <v>16.083336250418252</v>
      </c>
      <c r="C12" s="20">
        <f t="shared" si="0"/>
        <v>16.08234082385226</v>
      </c>
      <c r="D12" s="20">
        <f t="shared" si="1"/>
        <v>9.9542656599282964E-4</v>
      </c>
      <c r="E12" s="20">
        <f t="shared" si="2"/>
        <v>2.8254123798738817E-3</v>
      </c>
      <c r="F12" s="20">
        <f t="shared" si="3"/>
        <v>-1.8299858138810521E-3</v>
      </c>
    </row>
    <row r="13" spans="1:6" ht="15" customHeight="1" x14ac:dyDescent="0.35">
      <c r="A13" s="18">
        <f>'Growth Analysis'!A12</f>
        <v>43707</v>
      </c>
      <c r="B13" s="23">
        <f>'Growth Analysis'!D12</f>
        <v>16.085588310749024</v>
      </c>
      <c r="C13" s="20">
        <f t="shared" si="0"/>
        <v>16.083336250418252</v>
      </c>
      <c r="D13" s="20">
        <f t="shared" si="1"/>
        <v>2.2520603307718545E-3</v>
      </c>
      <c r="E13" s="20">
        <f t="shared" si="2"/>
        <v>9.9542656599282964E-4</v>
      </c>
      <c r="F13" s="20">
        <f t="shared" si="3"/>
        <v>1.2566337647790249E-3</v>
      </c>
    </row>
    <row r="14" spans="1:6" ht="15" customHeight="1" x14ac:dyDescent="0.35">
      <c r="A14" s="18">
        <f>'Growth Analysis'!A13</f>
        <v>43735</v>
      </c>
      <c r="B14" s="23">
        <f>'Growth Analysis'!D13</f>
        <v>16.094504951298315</v>
      </c>
      <c r="C14" s="20">
        <f t="shared" si="0"/>
        <v>16.085588310749024</v>
      </c>
      <c r="D14" s="20">
        <f t="shared" si="1"/>
        <v>8.9166405492910883E-3</v>
      </c>
      <c r="E14" s="20">
        <f t="shared" si="2"/>
        <v>2.2520603307718545E-3</v>
      </c>
      <c r="F14" s="20">
        <f t="shared" si="3"/>
        <v>6.6645802185192338E-3</v>
      </c>
    </row>
    <row r="15" spans="1:6" ht="15" customHeight="1" x14ac:dyDescent="0.35">
      <c r="A15" s="18">
        <f>'Growth Analysis'!A14</f>
        <v>43763</v>
      </c>
      <c r="B15" s="23">
        <f>'Growth Analysis'!D14</f>
        <v>16.102023413096902</v>
      </c>
      <c r="C15" s="20">
        <f t="shared" si="0"/>
        <v>16.094504951298315</v>
      </c>
      <c r="D15" s="20">
        <f t="shared" si="1"/>
        <v>7.5184617985861735E-3</v>
      </c>
      <c r="E15" s="20">
        <f t="shared" si="2"/>
        <v>8.9166405492910883E-3</v>
      </c>
      <c r="F15" s="20">
        <f t="shared" si="3"/>
        <v>-1.3981787507049148E-3</v>
      </c>
    </row>
    <row r="16" spans="1:6" ht="15" customHeight="1" x14ac:dyDescent="0.35">
      <c r="A16" s="18">
        <f>'Growth Analysis'!A15</f>
        <v>43791</v>
      </c>
      <c r="B16" s="23">
        <f>'Growth Analysis'!D15</f>
        <v>16.104027420829855</v>
      </c>
      <c r="C16" s="20">
        <f t="shared" si="0"/>
        <v>16.102023413096902</v>
      </c>
      <c r="D16" s="20">
        <f t="shared" si="1"/>
        <v>2.0040077329532835E-3</v>
      </c>
      <c r="E16" s="20">
        <f t="shared" si="2"/>
        <v>7.5184617985861735E-3</v>
      </c>
      <c r="F16" s="20">
        <f t="shared" si="3"/>
        <v>-5.51445406563289E-3</v>
      </c>
    </row>
    <row r="17" spans="1:6" ht="15" customHeight="1" x14ac:dyDescent="0.35">
      <c r="A17" s="18">
        <f>'Growth Analysis'!A16</f>
        <v>43819</v>
      </c>
      <c r="B17" s="23">
        <f>'Growth Analysis'!D16</f>
        <v>16.121698331882989</v>
      </c>
      <c r="C17" s="20">
        <f t="shared" si="0"/>
        <v>16.104027420829855</v>
      </c>
      <c r="D17" s="20">
        <f t="shared" si="1"/>
        <v>1.767091105313412E-2</v>
      </c>
      <c r="E17" s="20">
        <f t="shared" si="2"/>
        <v>2.0040077329532835E-3</v>
      </c>
      <c r="F17" s="20">
        <f t="shared" si="3"/>
        <v>1.5666903320180836E-2</v>
      </c>
    </row>
    <row r="18" spans="1:6" ht="15" customHeight="1" x14ac:dyDescent="0.35">
      <c r="A18" s="18">
        <f>'Growth Analysis'!A17</f>
        <v>43861</v>
      </c>
      <c r="B18" s="23">
        <f>'Growth Analysis'!D17</f>
        <v>16.1285583609694</v>
      </c>
      <c r="C18" s="20">
        <f t="shared" si="0"/>
        <v>16.121698331882989</v>
      </c>
      <c r="D18" s="20">
        <f t="shared" si="1"/>
        <v>6.8600290864111457E-3</v>
      </c>
      <c r="E18" s="20">
        <f t="shared" si="2"/>
        <v>1.767091105313412E-2</v>
      </c>
      <c r="F18" s="20">
        <f t="shared" si="3"/>
        <v>-1.0810881966722974E-2</v>
      </c>
    </row>
    <row r="19" spans="1:6" ht="15" customHeight="1" x14ac:dyDescent="0.35">
      <c r="A19" s="18">
        <f>'Growth Analysis'!A18</f>
        <v>43889</v>
      </c>
      <c r="B19" s="23">
        <f>'Growth Analysis'!D18</f>
        <v>16.128527679623989</v>
      </c>
      <c r="C19" s="20">
        <f t="shared" si="0"/>
        <v>16.1285583609694</v>
      </c>
      <c r="D19" s="20">
        <f t="shared" si="1"/>
        <v>-3.0681345410954464E-5</v>
      </c>
      <c r="E19" s="20">
        <f t="shared" si="2"/>
        <v>6.8600290864111457E-3</v>
      </c>
      <c r="F19" s="20">
        <f t="shared" si="3"/>
        <v>-6.8907104318221002E-3</v>
      </c>
    </row>
    <row r="20" spans="1:6" ht="15" customHeight="1" x14ac:dyDescent="0.35">
      <c r="A20" s="18">
        <f>'Growth Analysis'!A19</f>
        <v>43917</v>
      </c>
      <c r="B20" s="23">
        <f>'Growth Analysis'!D19</f>
        <v>16.154510574169525</v>
      </c>
      <c r="C20" s="20">
        <f t="shared" si="0"/>
        <v>16.128527679623989</v>
      </c>
      <c r="D20" s="20">
        <f t="shared" si="1"/>
        <v>2.5982894545535373E-2</v>
      </c>
      <c r="E20" s="20">
        <f t="shared" si="2"/>
        <v>-3.0681345410954464E-5</v>
      </c>
      <c r="F20" s="20">
        <f t="shared" si="3"/>
        <v>2.6013575890946328E-2</v>
      </c>
    </row>
    <row r="21" spans="1:6" ht="15" customHeight="1" x14ac:dyDescent="0.35">
      <c r="A21" s="18">
        <f>'Growth Analysis'!A20</f>
        <v>43945</v>
      </c>
      <c r="B21" s="23">
        <f>'Growth Analysis'!D20</f>
        <v>16.1450701251105</v>
      </c>
      <c r="C21" s="20">
        <f t="shared" si="0"/>
        <v>16.154510574169525</v>
      </c>
      <c r="D21" s="20">
        <f t="shared" si="1"/>
        <v>-9.4404490590243029E-3</v>
      </c>
      <c r="E21" s="20">
        <f t="shared" si="2"/>
        <v>2.5982894545535373E-2</v>
      </c>
      <c r="F21" s="20">
        <f t="shared" si="3"/>
        <v>-3.5423343604559676E-2</v>
      </c>
    </row>
    <row r="22" spans="1:6" ht="15" customHeight="1" x14ac:dyDescent="0.35">
      <c r="A22" s="18">
        <f>'Growth Analysis'!A21</f>
        <v>43973</v>
      </c>
      <c r="B22" s="23">
        <f>'Growth Analysis'!D21</f>
        <v>16.140126498133601</v>
      </c>
      <c r="C22" s="20">
        <f t="shared" si="0"/>
        <v>16.1450701251105</v>
      </c>
      <c r="D22" s="20">
        <f t="shared" si="1"/>
        <v>-4.943626976899651E-3</v>
      </c>
      <c r="E22" s="20">
        <f t="shared" si="2"/>
        <v>-9.4404490590243029E-3</v>
      </c>
      <c r="F22" s="20">
        <f t="shared" si="3"/>
        <v>4.4968220821246518E-3</v>
      </c>
    </row>
    <row r="23" spans="1:6" ht="15" customHeight="1" x14ac:dyDescent="0.35">
      <c r="A23" s="18">
        <f>'Growth Analysis'!A22</f>
        <v>44001</v>
      </c>
      <c r="B23" s="23">
        <f>'Growth Analysis'!D22</f>
        <v>16.142366464372707</v>
      </c>
      <c r="C23" s="20">
        <f t="shared" si="0"/>
        <v>16.140126498133601</v>
      </c>
      <c r="D23" s="20">
        <f t="shared" si="1"/>
        <v>2.2399662391059394E-3</v>
      </c>
      <c r="E23" s="20">
        <f t="shared" si="2"/>
        <v>-4.943626976899651E-3</v>
      </c>
      <c r="F23" s="20">
        <f t="shared" si="3"/>
        <v>7.1835932160055904E-3</v>
      </c>
    </row>
    <row r="24" spans="1:6" ht="15" customHeight="1" x14ac:dyDescent="0.35">
      <c r="A24" s="18">
        <f>'Growth Analysis'!A23</f>
        <v>44043</v>
      </c>
      <c r="B24" s="23">
        <f>'Growth Analysis'!D23</f>
        <v>16.145910884356059</v>
      </c>
      <c r="C24" s="20">
        <f t="shared" si="0"/>
        <v>16.142366464372707</v>
      </c>
      <c r="D24" s="20">
        <f t="shared" si="1"/>
        <v>3.5444199833527534E-3</v>
      </c>
      <c r="E24" s="20">
        <f t="shared" si="2"/>
        <v>2.2399662391059394E-3</v>
      </c>
      <c r="F24" s="20">
        <f t="shared" si="3"/>
        <v>1.304453744246814E-3</v>
      </c>
    </row>
    <row r="25" spans="1:6" ht="15" customHeight="1" x14ac:dyDescent="0.35">
      <c r="A25" s="18">
        <f>'Growth Analysis'!A24</f>
        <v>44071</v>
      </c>
      <c r="B25" s="23">
        <f>'Growth Analysis'!D24</f>
        <v>16.139481146272391</v>
      </c>
      <c r="C25" s="20">
        <f t="shared" si="0"/>
        <v>16.145910884356059</v>
      </c>
      <c r="D25" s="20">
        <f t="shared" si="1"/>
        <v>-6.4297380836677576E-3</v>
      </c>
      <c r="E25" s="20">
        <f t="shared" si="2"/>
        <v>3.5444199833527534E-3</v>
      </c>
      <c r="F25" s="20">
        <f t="shared" si="3"/>
        <v>-9.974158067020511E-3</v>
      </c>
    </row>
    <row r="26" spans="1:6" ht="15" customHeight="1" x14ac:dyDescent="0.35">
      <c r="A26" s="18">
        <f>'Growth Analysis'!A25</f>
        <v>44099</v>
      </c>
      <c r="B26" s="23">
        <f>'Growth Analysis'!D25</f>
        <v>16.144891514353514</v>
      </c>
      <c r="C26" s="20">
        <f t="shared" si="0"/>
        <v>16.139481146272391</v>
      </c>
      <c r="D26" s="20">
        <f t="shared" si="1"/>
        <v>5.4103680811223853E-3</v>
      </c>
      <c r="E26" s="20">
        <f t="shared" si="2"/>
        <v>-6.4297380836677576E-3</v>
      </c>
      <c r="F26" s="20">
        <f t="shared" si="3"/>
        <v>1.1840106164790143E-2</v>
      </c>
    </row>
    <row r="27" spans="1:6" ht="15" customHeight="1" x14ac:dyDescent="0.35">
      <c r="A27" s="18">
        <f>'Growth Analysis'!A26</f>
        <v>44127</v>
      </c>
      <c r="B27" s="23">
        <f>'Growth Analysis'!D26</f>
        <v>16.151420931476636</v>
      </c>
      <c r="C27" s="20">
        <f t="shared" si="0"/>
        <v>16.144891514353514</v>
      </c>
      <c r="D27" s="20">
        <f t="shared" si="1"/>
        <v>6.529417123122272E-3</v>
      </c>
      <c r="E27" s="20">
        <f t="shared" si="2"/>
        <v>5.4103680811223853E-3</v>
      </c>
      <c r="F27" s="20">
        <f t="shared" si="3"/>
        <v>1.1190490419998866E-3</v>
      </c>
    </row>
    <row r="28" spans="1:6" ht="15" customHeight="1" x14ac:dyDescent="0.35">
      <c r="A28" s="18">
        <f>'Growth Analysis'!A27</f>
        <v>44155</v>
      </c>
      <c r="B28" s="23">
        <f>'Growth Analysis'!D27</f>
        <v>16.160664631533585</v>
      </c>
      <c r="C28" s="20">
        <f t="shared" si="0"/>
        <v>16.151420931476636</v>
      </c>
      <c r="D28" s="20">
        <f t="shared" si="1"/>
        <v>9.2437000569489669E-3</v>
      </c>
      <c r="E28" s="20">
        <f t="shared" si="2"/>
        <v>6.529417123122272E-3</v>
      </c>
      <c r="F28" s="20">
        <f t="shared" si="3"/>
        <v>2.7142829338266949E-3</v>
      </c>
    </row>
    <row r="29" spans="1:6" ht="15" customHeight="1" x14ac:dyDescent="0.35">
      <c r="A29" s="18">
        <f>'Growth Analysis'!A28</f>
        <v>44183</v>
      </c>
      <c r="B29" s="23">
        <f>'Growth Analysis'!D28</f>
        <v>16.185996930806912</v>
      </c>
      <c r="C29" s="20">
        <f t="shared" si="0"/>
        <v>16.160664631533585</v>
      </c>
      <c r="D29" s="20">
        <f t="shared" si="1"/>
        <v>2.5332299273326697E-2</v>
      </c>
      <c r="E29" s="20">
        <f t="shared" si="2"/>
        <v>9.2437000569489669E-3</v>
      </c>
      <c r="F29" s="20">
        <f t="shared" si="3"/>
        <v>1.608859921637773E-2</v>
      </c>
    </row>
    <row r="30" spans="1:6" ht="15" customHeight="1" x14ac:dyDescent="0.35">
      <c r="A30" s="18">
        <f>'Growth Analysis'!A29</f>
        <v>44225</v>
      </c>
      <c r="B30" s="23">
        <f>'Growth Analysis'!D29</f>
        <v>16.186104876296248</v>
      </c>
      <c r="C30" s="20">
        <f t="shared" si="0"/>
        <v>16.185996930806912</v>
      </c>
      <c r="D30" s="20">
        <f t="shared" si="1"/>
        <v>1.0794548933645842E-4</v>
      </c>
      <c r="E30" s="20">
        <f t="shared" si="2"/>
        <v>2.5332299273326697E-2</v>
      </c>
      <c r="F30" s="20">
        <f t="shared" si="3"/>
        <v>-2.5224353783990239E-2</v>
      </c>
    </row>
    <row r="31" spans="1:6" ht="15" customHeight="1" x14ac:dyDescent="0.35">
      <c r="A31" s="18">
        <f>'Growth Analysis'!A30</f>
        <v>44253</v>
      </c>
      <c r="B31" s="23">
        <f>'Growth Analysis'!D30</f>
        <v>16.192715292224356</v>
      </c>
      <c r="C31" s="20">
        <f t="shared" si="0"/>
        <v>16.186104876296248</v>
      </c>
      <c r="D31" s="20">
        <f t="shared" si="1"/>
        <v>6.610415928108182E-3</v>
      </c>
      <c r="E31" s="20">
        <f t="shared" si="2"/>
        <v>1.0794548933645842E-4</v>
      </c>
      <c r="F31" s="20">
        <f t="shared" si="3"/>
        <v>6.5024704387717236E-3</v>
      </c>
    </row>
    <row r="32" spans="1:6" ht="15" customHeight="1" x14ac:dyDescent="0.35">
      <c r="A32" s="18">
        <f>'Growth Analysis'!A31</f>
        <v>44281</v>
      </c>
      <c r="B32" s="23">
        <f>'Growth Analysis'!D31</f>
        <v>16.208805173038783</v>
      </c>
      <c r="C32" s="20">
        <f t="shared" si="0"/>
        <v>16.192715292224356</v>
      </c>
      <c r="D32" s="20">
        <f t="shared" si="1"/>
        <v>1.6089880814426749E-2</v>
      </c>
      <c r="E32" s="20">
        <f t="shared" si="2"/>
        <v>6.610415928108182E-3</v>
      </c>
      <c r="F32" s="20">
        <f t="shared" si="3"/>
        <v>9.4794648863185671E-3</v>
      </c>
    </row>
    <row r="33" spans="1:6" ht="15" customHeight="1" x14ac:dyDescent="0.35">
      <c r="A33" s="18">
        <f>'Growth Analysis'!A32</f>
        <v>44309</v>
      </c>
      <c r="B33" s="23">
        <f>'Growth Analysis'!D32</f>
        <v>16.200641565409626</v>
      </c>
      <c r="C33" s="20">
        <f t="shared" si="0"/>
        <v>16.208805173038783</v>
      </c>
      <c r="D33" s="20">
        <f t="shared" si="1"/>
        <v>-8.1636076291573545E-3</v>
      </c>
      <c r="E33" s="20">
        <f t="shared" si="2"/>
        <v>1.6089880814426749E-2</v>
      </c>
      <c r="F33" s="20">
        <f t="shared" si="3"/>
        <v>-2.4253488443584104E-2</v>
      </c>
    </row>
    <row r="34" spans="1:6" ht="15" customHeight="1" x14ac:dyDescent="0.35">
      <c r="A34" s="18">
        <f>'Growth Analysis'!A33</f>
        <v>44337</v>
      </c>
      <c r="B34" s="23">
        <f>'Growth Analysis'!D33</f>
        <v>16.197943399212811</v>
      </c>
      <c r="C34" s="20">
        <f t="shared" si="0"/>
        <v>16.200641565409626</v>
      </c>
      <c r="D34" s="20">
        <f t="shared" si="1"/>
        <v>-2.6981661968150661E-3</v>
      </c>
      <c r="E34" s="20">
        <f t="shared" si="2"/>
        <v>-8.1636076291573545E-3</v>
      </c>
      <c r="F34" s="20">
        <f t="shared" si="3"/>
        <v>5.4654414323422884E-3</v>
      </c>
    </row>
    <row r="35" spans="1:6" ht="15" customHeight="1" x14ac:dyDescent="0.35">
      <c r="A35" s="18">
        <f>'Growth Analysis'!A34</f>
        <v>44365</v>
      </c>
      <c r="B35" s="23">
        <f>'Growth Analysis'!D34</f>
        <v>16.206889646472348</v>
      </c>
      <c r="C35" s="20">
        <f t="shared" si="0"/>
        <v>16.197943399212811</v>
      </c>
      <c r="D35" s="20">
        <f t="shared" si="1"/>
        <v>8.9462472595371878E-3</v>
      </c>
      <c r="E35" s="20">
        <f t="shared" si="2"/>
        <v>-2.6981661968150661E-3</v>
      </c>
      <c r="F35" s="20">
        <f t="shared" si="3"/>
        <v>1.1644413456352254E-2</v>
      </c>
    </row>
    <row r="36" spans="1:6" ht="15" customHeight="1" x14ac:dyDescent="0.35">
      <c r="A36" s="18">
        <f>'Growth Analysis'!A35</f>
        <v>44407</v>
      </c>
      <c r="B36" s="23">
        <f>'Growth Analysis'!D35</f>
        <v>16.205242306928252</v>
      </c>
      <c r="C36" s="20">
        <f t="shared" si="0"/>
        <v>16.206889646472348</v>
      </c>
      <c r="D36" s="20">
        <f t="shared" si="1"/>
        <v>-1.6473395440961269E-3</v>
      </c>
      <c r="E36" s="20">
        <f t="shared" si="2"/>
        <v>8.9462472595371878E-3</v>
      </c>
      <c r="F36" s="20">
        <f t="shared" si="3"/>
        <v>-1.0593586803633315E-2</v>
      </c>
    </row>
    <row r="37" spans="1:6" ht="15" customHeight="1" x14ac:dyDescent="0.35">
      <c r="A37" s="18">
        <f>'Growth Analysis'!A36</f>
        <v>44435</v>
      </c>
      <c r="B37" s="23">
        <f>'Growth Analysis'!D36</f>
        <v>16.204053233257728</v>
      </c>
      <c r="C37" s="20">
        <f t="shared" si="0"/>
        <v>16.205242306928252</v>
      </c>
      <c r="D37" s="20">
        <f t="shared" si="1"/>
        <v>-1.1890736705240101E-3</v>
      </c>
      <c r="E37" s="20">
        <f t="shared" si="2"/>
        <v>-1.6473395440961269E-3</v>
      </c>
      <c r="F37" s="20">
        <f t="shared" si="3"/>
        <v>4.5826587357211679E-4</v>
      </c>
    </row>
    <row r="38" spans="1:6" ht="15" customHeight="1" x14ac:dyDescent="0.35">
      <c r="A38" s="18">
        <f>'Growth Analysis'!A37</f>
        <v>44463</v>
      </c>
      <c r="B38" s="23">
        <f>'Growth Analysis'!D37</f>
        <v>16.209472366326448</v>
      </c>
      <c r="C38" s="20">
        <f t="shared" si="0"/>
        <v>16.204053233257728</v>
      </c>
      <c r="D38" s="20">
        <f t="shared" si="1"/>
        <v>5.4191330687203276E-3</v>
      </c>
      <c r="E38" s="20">
        <f t="shared" si="2"/>
        <v>-1.1890736705240101E-3</v>
      </c>
      <c r="F38" s="20">
        <f t="shared" si="3"/>
        <v>6.6082067392443378E-3</v>
      </c>
    </row>
    <row r="39" spans="1:6" ht="15" customHeight="1" x14ac:dyDescent="0.35">
      <c r="A39" s="18">
        <f>'Growth Analysis'!A38</f>
        <v>44491</v>
      </c>
      <c r="B39" s="23">
        <f>'Growth Analysis'!D38</f>
        <v>16.217453911905022</v>
      </c>
      <c r="C39" s="20">
        <f t="shared" ref="C39:C70" si="4">B38</f>
        <v>16.209472366326448</v>
      </c>
      <c r="D39" s="20">
        <f t="shared" ref="D39:D70" si="5">B39-C39</f>
        <v>7.9815455785734457E-3</v>
      </c>
      <c r="E39" s="20">
        <f t="shared" si="2"/>
        <v>5.4191330687203276E-3</v>
      </c>
      <c r="F39" s="20">
        <f t="shared" si="3"/>
        <v>2.5624125098531181E-3</v>
      </c>
    </row>
    <row r="40" spans="1:6" ht="15" customHeight="1" x14ac:dyDescent="0.35">
      <c r="A40" s="18">
        <f>'Growth Analysis'!A39</f>
        <v>44519</v>
      </c>
      <c r="B40" s="23">
        <f>'Growth Analysis'!D39</f>
        <v>16.228043043971724</v>
      </c>
      <c r="C40" s="20">
        <f t="shared" si="4"/>
        <v>16.217453911905022</v>
      </c>
      <c r="D40" s="20">
        <f t="shared" si="5"/>
        <v>1.0589132066701978E-2</v>
      </c>
      <c r="E40" s="20">
        <f t="shared" ref="E40:E71" si="6">D39</f>
        <v>7.9815455785734457E-3</v>
      </c>
      <c r="F40" s="20">
        <f t="shared" ref="F40:F71" si="7">D40-E40</f>
        <v>2.6075864881285327E-3</v>
      </c>
    </row>
    <row r="41" spans="1:6" ht="15" customHeight="1" x14ac:dyDescent="0.35">
      <c r="A41" s="18">
        <f>'Growth Analysis'!A40</f>
        <v>44561</v>
      </c>
      <c r="B41" s="23">
        <f>'Growth Analysis'!D40</f>
        <v>16.264970251294908</v>
      </c>
      <c r="C41" s="20">
        <f t="shared" si="4"/>
        <v>16.228043043971724</v>
      </c>
      <c r="D41" s="20">
        <f t="shared" si="5"/>
        <v>3.6927207323184774E-2</v>
      </c>
      <c r="E41" s="20">
        <f t="shared" si="6"/>
        <v>1.0589132066701978E-2</v>
      </c>
      <c r="F41" s="20">
        <f t="shared" si="7"/>
        <v>2.6338075256482796E-2</v>
      </c>
    </row>
    <row r="42" spans="1:6" ht="15" customHeight="1" x14ac:dyDescent="0.35">
      <c r="A42" s="18">
        <f>'Growth Analysis'!A41</f>
        <v>44589</v>
      </c>
      <c r="B42" s="23">
        <f>'Growth Analysis'!D41</f>
        <v>16.255156283928983</v>
      </c>
      <c r="C42" s="20">
        <f t="shared" si="4"/>
        <v>16.264970251294908</v>
      </c>
      <c r="D42" s="20">
        <f t="shared" si="5"/>
        <v>-9.8139673659254356E-3</v>
      </c>
      <c r="E42" s="20">
        <f t="shared" si="6"/>
        <v>3.6927207323184774E-2</v>
      </c>
      <c r="F42" s="20">
        <f t="shared" si="7"/>
        <v>-4.674117468911021E-2</v>
      </c>
    </row>
    <row r="43" spans="1:6" ht="15" customHeight="1" x14ac:dyDescent="0.35">
      <c r="A43" s="18">
        <f>'Growth Analysis'!A42</f>
        <v>44617</v>
      </c>
      <c r="B43" s="23">
        <f>'Growth Analysis'!D42</f>
        <v>16.270277267189069</v>
      </c>
      <c r="C43" s="20">
        <f t="shared" si="4"/>
        <v>16.255156283928983</v>
      </c>
      <c r="D43" s="20">
        <f t="shared" si="5"/>
        <v>1.5120983260086263E-2</v>
      </c>
      <c r="E43" s="20">
        <f t="shared" si="6"/>
        <v>-9.8139673659254356E-3</v>
      </c>
      <c r="F43" s="20">
        <f t="shared" si="7"/>
        <v>2.4934950626011698E-2</v>
      </c>
    </row>
    <row r="44" spans="1:6" ht="15" customHeight="1" x14ac:dyDescent="0.35">
      <c r="A44" s="18">
        <f>'Growth Analysis'!A43</f>
        <v>44645</v>
      </c>
      <c r="B44" s="23">
        <f>'Growth Analysis'!D43</f>
        <v>16.291318798300139</v>
      </c>
      <c r="C44" s="20">
        <f t="shared" si="4"/>
        <v>16.270277267189069</v>
      </c>
      <c r="D44" s="20">
        <f t="shared" si="5"/>
        <v>2.10415311110701E-2</v>
      </c>
      <c r="E44" s="20">
        <f t="shared" si="6"/>
        <v>1.5120983260086263E-2</v>
      </c>
      <c r="F44" s="20">
        <f t="shared" si="7"/>
        <v>5.9205478509838372E-3</v>
      </c>
    </row>
    <row r="45" spans="1:6" ht="15" customHeight="1" x14ac:dyDescent="0.35">
      <c r="A45" s="18">
        <f>'Growth Analysis'!A44</f>
        <v>44673</v>
      </c>
      <c r="B45" s="23">
        <f>'Growth Analysis'!D44</f>
        <v>16.2967719187371</v>
      </c>
      <c r="C45" s="20">
        <f t="shared" si="4"/>
        <v>16.291318798300139</v>
      </c>
      <c r="D45" s="20">
        <f t="shared" si="5"/>
        <v>5.4531204369610009E-3</v>
      </c>
      <c r="E45" s="20">
        <f t="shared" si="6"/>
        <v>2.10415311110701E-2</v>
      </c>
      <c r="F45" s="20">
        <f t="shared" si="7"/>
        <v>-1.5588410674109099E-2</v>
      </c>
    </row>
    <row r="46" spans="1:6" ht="15" customHeight="1" x14ac:dyDescent="0.35">
      <c r="A46" s="18">
        <f>'Growth Analysis'!A45</f>
        <v>44701</v>
      </c>
      <c r="B46" s="23">
        <f>'Growth Analysis'!D45</f>
        <v>16.312273367378495</v>
      </c>
      <c r="C46" s="20">
        <f t="shared" si="4"/>
        <v>16.2967719187371</v>
      </c>
      <c r="D46" s="20">
        <f t="shared" si="5"/>
        <v>1.5501448641394688E-2</v>
      </c>
      <c r="E46" s="20">
        <f t="shared" si="6"/>
        <v>5.4531204369610009E-3</v>
      </c>
      <c r="F46" s="20">
        <f t="shared" si="7"/>
        <v>1.0048328204433687E-2</v>
      </c>
    </row>
    <row r="47" spans="1:6" ht="15" customHeight="1" x14ac:dyDescent="0.35">
      <c r="A47" s="18">
        <f>'Growth Analysis'!A46</f>
        <v>44729</v>
      </c>
      <c r="B47" s="23">
        <f>'Growth Analysis'!D46</f>
        <v>16.331818294219097</v>
      </c>
      <c r="C47" s="20">
        <f t="shared" si="4"/>
        <v>16.312273367378495</v>
      </c>
      <c r="D47" s="20">
        <f t="shared" si="5"/>
        <v>1.9544926840602272E-2</v>
      </c>
      <c r="E47" s="20">
        <f t="shared" si="6"/>
        <v>1.5501448641394688E-2</v>
      </c>
      <c r="F47" s="20">
        <f t="shared" si="7"/>
        <v>4.0434781992075841E-3</v>
      </c>
    </row>
    <row r="48" spans="1:6" ht="15" customHeight="1" x14ac:dyDescent="0.35">
      <c r="A48" s="18">
        <f>'Growth Analysis'!A47</f>
        <v>44771</v>
      </c>
      <c r="B48" s="23">
        <f>'Growth Analysis'!D47</f>
        <v>16.330732196833669</v>
      </c>
      <c r="C48" s="20">
        <f t="shared" si="4"/>
        <v>16.331818294219097</v>
      </c>
      <c r="D48" s="20">
        <f t="shared" si="5"/>
        <v>-1.0860973854285305E-3</v>
      </c>
      <c r="E48" s="20">
        <f t="shared" si="6"/>
        <v>1.9544926840602272E-2</v>
      </c>
      <c r="F48" s="20">
        <f t="shared" si="7"/>
        <v>-2.0631024226030803E-2</v>
      </c>
    </row>
    <row r="49" spans="1:6" ht="15" customHeight="1" x14ac:dyDescent="0.35">
      <c r="A49" s="18">
        <f>'Growth Analysis'!A48</f>
        <v>44799</v>
      </c>
      <c r="B49" s="23">
        <f>'Growth Analysis'!D48</f>
        <v>16.33792635221711</v>
      </c>
      <c r="C49" s="20">
        <f t="shared" si="4"/>
        <v>16.330732196833669</v>
      </c>
      <c r="D49" s="20">
        <f t="shared" si="5"/>
        <v>7.1941553834413696E-3</v>
      </c>
      <c r="E49" s="20">
        <f t="shared" si="6"/>
        <v>-1.0860973854285305E-3</v>
      </c>
      <c r="F49" s="20">
        <f t="shared" si="7"/>
        <v>8.2802527688699001E-3</v>
      </c>
    </row>
    <row r="50" spans="1:6" ht="15" customHeight="1" x14ac:dyDescent="0.35">
      <c r="A50" s="18">
        <f>'Growth Analysis'!A49</f>
        <v>44827</v>
      </c>
      <c r="B50" s="23">
        <f>'Growth Analysis'!D49</f>
        <v>16.351575580255361</v>
      </c>
      <c r="C50" s="20">
        <f t="shared" si="4"/>
        <v>16.33792635221711</v>
      </c>
      <c r="D50" s="20">
        <f t="shared" si="5"/>
        <v>1.3649228038250527E-2</v>
      </c>
      <c r="E50" s="20">
        <f t="shared" si="6"/>
        <v>7.1941553834413696E-3</v>
      </c>
      <c r="F50" s="20">
        <f t="shared" si="7"/>
        <v>6.4550726548091575E-3</v>
      </c>
    </row>
    <row r="51" spans="1:6" ht="15" customHeight="1" x14ac:dyDescent="0.35">
      <c r="A51" s="18">
        <f>'Growth Analysis'!A50</f>
        <v>44855</v>
      </c>
      <c r="B51" s="23">
        <f>'Growth Analysis'!D50</f>
        <v>16.371450522429985</v>
      </c>
      <c r="C51" s="20">
        <f t="shared" si="4"/>
        <v>16.351575580255361</v>
      </c>
      <c r="D51" s="20">
        <f t="shared" si="5"/>
        <v>1.9874942174624266E-2</v>
      </c>
      <c r="E51" s="20">
        <f t="shared" si="6"/>
        <v>1.3649228038250527E-2</v>
      </c>
      <c r="F51" s="20">
        <f t="shared" si="7"/>
        <v>6.2257141363737389E-3</v>
      </c>
    </row>
    <row r="52" spans="1:6" ht="15" customHeight="1" x14ac:dyDescent="0.35">
      <c r="A52" s="18">
        <f>'Growth Analysis'!A51</f>
        <v>44883</v>
      </c>
      <c r="B52" s="23">
        <f>'Growth Analysis'!D51</f>
        <v>16.376437474667284</v>
      </c>
      <c r="C52" s="20">
        <f t="shared" si="4"/>
        <v>16.371450522429985</v>
      </c>
      <c r="D52" s="20">
        <f t="shared" si="5"/>
        <v>4.9869522372993913E-3</v>
      </c>
      <c r="E52" s="20">
        <f t="shared" si="6"/>
        <v>1.9874942174624266E-2</v>
      </c>
      <c r="F52" s="20">
        <f t="shared" si="7"/>
        <v>-1.4887989937324875E-2</v>
      </c>
    </row>
    <row r="53" spans="1:6" ht="15" customHeight="1" x14ac:dyDescent="0.35">
      <c r="A53" s="18">
        <f>'Growth Analysis'!A52</f>
        <v>44925</v>
      </c>
      <c r="B53" s="23">
        <f>'Growth Analysis'!D52</f>
        <v>16.40378972740411</v>
      </c>
      <c r="C53" s="20">
        <f t="shared" si="4"/>
        <v>16.376437474667284</v>
      </c>
      <c r="D53" s="20">
        <f t="shared" si="5"/>
        <v>2.7352252736825733E-2</v>
      </c>
      <c r="E53" s="20">
        <f t="shared" si="6"/>
        <v>4.9869522372993913E-3</v>
      </c>
      <c r="F53" s="20">
        <f t="shared" si="7"/>
        <v>2.2365300499526342E-2</v>
      </c>
    </row>
    <row r="54" spans="1:6" ht="15" customHeight="1" x14ac:dyDescent="0.35">
      <c r="A54" s="18">
        <f>'Growth Analysis'!A53</f>
        <v>44953</v>
      </c>
      <c r="B54" s="23">
        <f>'Growth Analysis'!D53</f>
        <v>16.406092890457998</v>
      </c>
      <c r="C54" s="20">
        <f t="shared" si="4"/>
        <v>16.40378972740411</v>
      </c>
      <c r="D54" s="20">
        <f t="shared" si="5"/>
        <v>2.3031630538881132E-3</v>
      </c>
      <c r="E54" s="20">
        <f t="shared" si="6"/>
        <v>2.7352252736825733E-2</v>
      </c>
      <c r="F54" s="20">
        <f t="shared" si="7"/>
        <v>-2.504908968293762E-2</v>
      </c>
    </row>
    <row r="55" spans="1:6" ht="15" customHeight="1" x14ac:dyDescent="0.35">
      <c r="A55" s="18">
        <f>'Growth Analysis'!A54</f>
        <v>44981</v>
      </c>
      <c r="B55" s="23">
        <f>'Growth Analysis'!D54</f>
        <v>16.414509641896579</v>
      </c>
      <c r="C55" s="20">
        <f t="shared" si="4"/>
        <v>16.406092890457998</v>
      </c>
      <c r="D55" s="20">
        <f t="shared" si="5"/>
        <v>8.416751438581116E-3</v>
      </c>
      <c r="E55" s="20">
        <f t="shared" si="6"/>
        <v>2.3031630538881132E-3</v>
      </c>
      <c r="F55" s="20">
        <f t="shared" si="7"/>
        <v>6.1135883846930028E-3</v>
      </c>
    </row>
    <row r="56" spans="1:6" ht="15" customHeight="1" x14ac:dyDescent="0.35">
      <c r="A56" s="18">
        <f>'Growth Analysis'!A55</f>
        <v>45009</v>
      </c>
      <c r="B56" s="23">
        <f>'Growth Analysis'!D55</f>
        <v>16.431097114622975</v>
      </c>
      <c r="C56" s="20">
        <f t="shared" si="4"/>
        <v>16.414509641896579</v>
      </c>
      <c r="D56" s="20">
        <f t="shared" si="5"/>
        <v>1.6587472726396157E-2</v>
      </c>
      <c r="E56" s="20">
        <f t="shared" si="6"/>
        <v>8.416751438581116E-3</v>
      </c>
      <c r="F56" s="20">
        <f t="shared" si="7"/>
        <v>8.1707212878150415E-3</v>
      </c>
    </row>
    <row r="57" spans="1:6" ht="15" customHeight="1" x14ac:dyDescent="0.35">
      <c r="A57" s="18">
        <f>'Growth Analysis'!A56</f>
        <v>45037</v>
      </c>
      <c r="B57" s="23">
        <f>'Growth Analysis'!D56</f>
        <v>16.444477639539219</v>
      </c>
      <c r="C57" s="20">
        <f t="shared" si="4"/>
        <v>16.431097114622975</v>
      </c>
      <c r="D57" s="20">
        <f t="shared" si="5"/>
        <v>1.338052491624353E-2</v>
      </c>
      <c r="E57" s="20">
        <f t="shared" si="6"/>
        <v>1.6587472726396157E-2</v>
      </c>
      <c r="F57" s="20">
        <f t="shared" si="7"/>
        <v>-3.2069478101526272E-3</v>
      </c>
    </row>
    <row r="58" spans="1:6" ht="15" customHeight="1" x14ac:dyDescent="0.35">
      <c r="A58" s="18">
        <f>'Growth Analysis'!A57</f>
        <v>45065</v>
      </c>
      <c r="B58" s="23">
        <f>'Growth Analysis'!D57</f>
        <v>16.455260147566573</v>
      </c>
      <c r="C58" s="20">
        <f t="shared" si="4"/>
        <v>16.444477639539219</v>
      </c>
      <c r="D58" s="20">
        <f t="shared" si="5"/>
        <v>1.0782508027354254E-2</v>
      </c>
      <c r="E58" s="20">
        <f t="shared" si="6"/>
        <v>1.338052491624353E-2</v>
      </c>
      <c r="F58" s="20">
        <f t="shared" si="7"/>
        <v>-2.5980168888892763E-3</v>
      </c>
    </row>
    <row r="59" spans="1:6" ht="15" customHeight="1" x14ac:dyDescent="0.35">
      <c r="A59" s="18">
        <f>'Growth Analysis'!A58</f>
        <v>45107</v>
      </c>
      <c r="B59" s="23">
        <f>'Growth Analysis'!D58</f>
        <v>16.481607441346956</v>
      </c>
      <c r="C59" s="20">
        <f t="shared" si="4"/>
        <v>16.455260147566573</v>
      </c>
      <c r="D59" s="20">
        <f t="shared" si="5"/>
        <v>2.6347293780382586E-2</v>
      </c>
      <c r="E59" s="20">
        <f t="shared" si="6"/>
        <v>1.0782508027354254E-2</v>
      </c>
      <c r="F59" s="20">
        <f t="shared" si="7"/>
        <v>1.5564785753028332E-2</v>
      </c>
    </row>
    <row r="60" spans="1:6" ht="15" customHeight="1" x14ac:dyDescent="0.35">
      <c r="A60" s="18">
        <f>'Growth Analysis'!A59</f>
        <v>45135</v>
      </c>
      <c r="B60" s="23">
        <f>'Growth Analysis'!D59</f>
        <v>16.50926731944152</v>
      </c>
      <c r="C60" s="20">
        <f t="shared" si="4"/>
        <v>16.481607441346956</v>
      </c>
      <c r="D60" s="20">
        <f t="shared" si="5"/>
        <v>2.765987809456405E-2</v>
      </c>
      <c r="E60" s="20">
        <f t="shared" si="6"/>
        <v>2.6347293780382586E-2</v>
      </c>
      <c r="F60" s="20">
        <f t="shared" si="7"/>
        <v>1.3125843141814642E-3</v>
      </c>
    </row>
    <row r="61" spans="1:6" ht="15" customHeight="1" x14ac:dyDescent="0.35">
      <c r="A61" s="18">
        <f>'Growth Analysis'!A60</f>
        <v>45163</v>
      </c>
      <c r="B61" s="23">
        <f>'Growth Analysis'!D60</f>
        <v>16.518032946711532</v>
      </c>
      <c r="C61" s="20">
        <f t="shared" si="4"/>
        <v>16.50926731944152</v>
      </c>
      <c r="D61" s="20">
        <f t="shared" si="5"/>
        <v>8.7656272700122884E-3</v>
      </c>
      <c r="E61" s="20">
        <f t="shared" si="6"/>
        <v>2.765987809456405E-2</v>
      </c>
      <c r="F61" s="20">
        <f t="shared" si="7"/>
        <v>-1.8894250824551762E-2</v>
      </c>
    </row>
    <row r="62" spans="1:6" ht="15" customHeight="1" x14ac:dyDescent="0.35">
      <c r="A62" s="18">
        <f>'Growth Analysis'!A61</f>
        <v>45191</v>
      </c>
      <c r="B62" s="23">
        <f>'Growth Analysis'!D61</f>
        <v>16.533597831255864</v>
      </c>
      <c r="C62" s="20">
        <f t="shared" si="4"/>
        <v>16.518032946711532</v>
      </c>
      <c r="D62" s="20">
        <f t="shared" si="5"/>
        <v>1.5564884544332358E-2</v>
      </c>
      <c r="E62" s="20">
        <f t="shared" si="6"/>
        <v>8.7656272700122884E-3</v>
      </c>
      <c r="F62" s="20">
        <f t="shared" si="7"/>
        <v>6.7992572743200697E-3</v>
      </c>
    </row>
    <row r="63" spans="1:6" ht="15" customHeight="1" x14ac:dyDescent="0.35">
      <c r="A63" s="18">
        <f>'Growth Analysis'!A62</f>
        <v>45219</v>
      </c>
      <c r="B63" s="23">
        <f>'Growth Analysis'!D62</f>
        <v>16.561789031195097</v>
      </c>
      <c r="C63" s="20">
        <f t="shared" si="4"/>
        <v>16.533597831255864</v>
      </c>
      <c r="D63" s="20">
        <f t="shared" si="5"/>
        <v>2.8191199939232803E-2</v>
      </c>
      <c r="E63" s="20">
        <f t="shared" si="6"/>
        <v>1.5564884544332358E-2</v>
      </c>
      <c r="F63" s="20">
        <f t="shared" si="7"/>
        <v>1.2626315394900445E-2</v>
      </c>
    </row>
    <row r="64" spans="1:6" ht="15" customHeight="1" x14ac:dyDescent="0.35">
      <c r="A64" s="18">
        <f>'Growth Analysis'!A63</f>
        <v>45247</v>
      </c>
      <c r="B64" s="23">
        <f>'Growth Analysis'!D63</f>
        <v>16.577130322420334</v>
      </c>
      <c r="C64" s="20">
        <f t="shared" si="4"/>
        <v>16.561789031195097</v>
      </c>
      <c r="D64" s="20">
        <f t="shared" si="5"/>
        <v>1.5341291225237086E-2</v>
      </c>
      <c r="E64" s="20">
        <f t="shared" si="6"/>
        <v>2.8191199939232803E-2</v>
      </c>
      <c r="F64" s="20">
        <f t="shared" si="7"/>
        <v>-1.2849908713995717E-2</v>
      </c>
    </row>
    <row r="65" spans="1:6" ht="15" customHeight="1" x14ac:dyDescent="0.35">
      <c r="A65" s="18">
        <f>'Growth Analysis'!A64</f>
        <v>45289</v>
      </c>
      <c r="B65" s="23">
        <f>'Growth Analysis'!D64</f>
        <v>16.585717945200177</v>
      </c>
      <c r="C65" s="20">
        <f t="shared" si="4"/>
        <v>16.577130322420334</v>
      </c>
      <c r="D65" s="20">
        <f t="shared" si="5"/>
        <v>8.5876227798422633E-3</v>
      </c>
      <c r="E65" s="20">
        <f t="shared" si="6"/>
        <v>1.5341291225237086E-2</v>
      </c>
      <c r="F65" s="20">
        <f t="shared" si="7"/>
        <v>-6.7536684453948226E-3</v>
      </c>
    </row>
    <row r="66" spans="1:6" ht="15" customHeight="1" x14ac:dyDescent="0.35">
      <c r="A66" s="18">
        <f>'Growth Analysis'!A65</f>
        <v>45317</v>
      </c>
      <c r="B66" s="23">
        <f>'Growth Analysis'!D65</f>
        <v>16.590820063015379</v>
      </c>
      <c r="C66" s="20">
        <f t="shared" si="4"/>
        <v>16.585717945200177</v>
      </c>
      <c r="D66" s="20">
        <f t="shared" si="5"/>
        <v>5.1021178152019786E-3</v>
      </c>
      <c r="E66" s="20">
        <f t="shared" si="6"/>
        <v>8.5876227798422633E-3</v>
      </c>
      <c r="F66" s="20">
        <f t="shared" si="7"/>
        <v>-3.4855049646402847E-3</v>
      </c>
    </row>
    <row r="67" spans="1:6" ht="15" customHeight="1" x14ac:dyDescent="0.35">
      <c r="A67" s="18">
        <f>'Growth Analysis'!A66</f>
        <v>45345</v>
      </c>
      <c r="B67" s="23">
        <f>'Growth Analysis'!D66</f>
        <v>16.601393936447877</v>
      </c>
      <c r="C67" s="20">
        <f t="shared" si="4"/>
        <v>16.590820063015379</v>
      </c>
      <c r="D67" s="20">
        <f t="shared" si="5"/>
        <v>1.0573873432498715E-2</v>
      </c>
      <c r="E67" s="20">
        <f t="shared" si="6"/>
        <v>5.1021178152019786E-3</v>
      </c>
      <c r="F67" s="20">
        <f t="shared" si="7"/>
        <v>5.4717556172967363E-3</v>
      </c>
    </row>
    <row r="68" spans="1:6" ht="15" customHeight="1" x14ac:dyDescent="0.35">
      <c r="A68" s="18">
        <f>'Growth Analysis'!A67</f>
        <v>45373</v>
      </c>
      <c r="B68" s="23">
        <f>'Growth Analysis'!D67</f>
        <v>16.624132334633703</v>
      </c>
      <c r="C68" s="20">
        <f t="shared" si="4"/>
        <v>16.601393936447877</v>
      </c>
      <c r="D68" s="20">
        <f t="shared" si="5"/>
        <v>2.2738398185826014E-2</v>
      </c>
      <c r="E68" s="20">
        <f t="shared" si="6"/>
        <v>1.0573873432498715E-2</v>
      </c>
      <c r="F68" s="20">
        <f t="shared" si="7"/>
        <v>1.2164524753327299E-2</v>
      </c>
    </row>
    <row r="69" spans="1:6" ht="15" customHeight="1" x14ac:dyDescent="0.35">
      <c r="A69" s="18">
        <f>'Growth Analysis'!A68</f>
        <v>45401</v>
      </c>
      <c r="B69" s="23">
        <f>'Growth Analysis'!D68</f>
        <v>16.618373623714973</v>
      </c>
      <c r="C69" s="20">
        <f t="shared" si="4"/>
        <v>16.624132334633703</v>
      </c>
      <c r="D69" s="20">
        <f t="shared" si="5"/>
        <v>-5.7587109187302588E-3</v>
      </c>
      <c r="E69" s="20">
        <f t="shared" si="6"/>
        <v>2.2738398185826014E-2</v>
      </c>
      <c r="F69" s="20">
        <f t="shared" si="7"/>
        <v>-2.8497109104556273E-2</v>
      </c>
    </row>
    <row r="70" spans="1:6" ht="15" customHeight="1" x14ac:dyDescent="0.35">
      <c r="A70" s="18">
        <f>'Growth Analysis'!A69</f>
        <v>45443</v>
      </c>
      <c r="B70" s="23">
        <f>'Growth Analysis'!D69</f>
        <v>16.635941146071225</v>
      </c>
      <c r="C70" s="20">
        <f t="shared" si="4"/>
        <v>16.618373623714973</v>
      </c>
      <c r="D70" s="20">
        <f t="shared" si="5"/>
        <v>1.7567522356252141E-2</v>
      </c>
      <c r="E70" s="20">
        <f t="shared" si="6"/>
        <v>-5.7587109187302588E-3</v>
      </c>
      <c r="F70" s="20">
        <f t="shared" si="7"/>
        <v>2.33262332749824E-2</v>
      </c>
    </row>
    <row r="71" spans="1:6" ht="15" customHeight="1" x14ac:dyDescent="0.35">
      <c r="A71" s="18">
        <f>'Growth Analysis'!A70</f>
        <v>45471</v>
      </c>
      <c r="B71" s="23">
        <f>'Growth Analysis'!D70</f>
        <v>16.641686384921034</v>
      </c>
      <c r="C71" s="20">
        <f t="shared" ref="C71:C95" si="8">B70</f>
        <v>16.635941146071225</v>
      </c>
      <c r="D71" s="20">
        <f t="shared" ref="D71:D102" si="9">B71-C71</f>
        <v>5.7452388498084872E-3</v>
      </c>
      <c r="E71" s="20">
        <f t="shared" si="6"/>
        <v>1.7567522356252141E-2</v>
      </c>
      <c r="F71" s="20">
        <f t="shared" si="7"/>
        <v>-1.1822283506443654E-2</v>
      </c>
    </row>
    <row r="72" spans="1:6" ht="15" customHeight="1" x14ac:dyDescent="0.35">
      <c r="A72" s="18">
        <f>'Growth Analysis'!A71</f>
        <v>45499</v>
      </c>
      <c r="B72" s="23">
        <f>'Growth Analysis'!D71</f>
        <v>16.637769536740464</v>
      </c>
      <c r="C72" s="20">
        <f t="shared" si="8"/>
        <v>16.641686384921034</v>
      </c>
      <c r="D72" s="20">
        <f t="shared" si="9"/>
        <v>-3.9168481805695876E-3</v>
      </c>
      <c r="E72" s="20">
        <f t="shared" ref="E72:E95" si="10">D71</f>
        <v>5.7452388498084872E-3</v>
      </c>
      <c r="F72" s="20">
        <f t="shared" ref="F72:F103" si="11">D72-E72</f>
        <v>-9.6620870303780748E-3</v>
      </c>
    </row>
    <row r="73" spans="1:6" ht="15" customHeight="1" x14ac:dyDescent="0.35">
      <c r="A73" s="18">
        <f>'Growth Analysis'!A72</f>
        <v>45527</v>
      </c>
      <c r="B73" s="23">
        <f>'Growth Analysis'!D72</f>
        <v>16.645492931581817</v>
      </c>
      <c r="C73" s="20">
        <f t="shared" si="8"/>
        <v>16.637769536740464</v>
      </c>
      <c r="D73" s="20">
        <f t="shared" si="9"/>
        <v>7.7233948413528708E-3</v>
      </c>
      <c r="E73" s="20">
        <f t="shared" si="10"/>
        <v>-3.9168481805695876E-3</v>
      </c>
      <c r="F73" s="20">
        <f t="shared" si="11"/>
        <v>1.1640243021922458E-2</v>
      </c>
    </row>
    <row r="74" spans="1:6" ht="15" customHeight="1" x14ac:dyDescent="0.35">
      <c r="A74" s="18">
        <f>'Growth Analysis'!A73</f>
        <v>45555</v>
      </c>
      <c r="B74" s="23">
        <f>'Growth Analysis'!D73</f>
        <v>16.656052978604304</v>
      </c>
      <c r="C74" s="20">
        <f t="shared" si="8"/>
        <v>16.645492931581817</v>
      </c>
      <c r="D74" s="20">
        <f t="shared" si="9"/>
        <v>1.056004702248714E-2</v>
      </c>
      <c r="E74" s="20">
        <f t="shared" si="10"/>
        <v>7.7233948413528708E-3</v>
      </c>
      <c r="F74" s="20">
        <f t="shared" si="11"/>
        <v>2.8366521811342693E-3</v>
      </c>
    </row>
    <row r="75" spans="1:6" ht="15" customHeight="1" x14ac:dyDescent="0.35">
      <c r="A75" s="18">
        <f>'Growth Analysis'!A74</f>
        <v>45583</v>
      </c>
      <c r="B75" s="23">
        <f>'Growth Analysis'!D74</f>
        <v>16.673102657041351</v>
      </c>
      <c r="C75" s="20">
        <f t="shared" si="8"/>
        <v>16.656052978604304</v>
      </c>
      <c r="D75" s="20">
        <f t="shared" si="9"/>
        <v>1.7049678437047078E-2</v>
      </c>
      <c r="E75" s="20">
        <f t="shared" si="10"/>
        <v>1.056004702248714E-2</v>
      </c>
      <c r="F75" s="20">
        <f t="shared" si="11"/>
        <v>6.4896314145599376E-3</v>
      </c>
    </row>
    <row r="76" spans="1:6" ht="15" customHeight="1" x14ac:dyDescent="0.35">
      <c r="A76" s="18">
        <f>'Growth Analysis'!A75</f>
        <v>45625</v>
      </c>
      <c r="B76" s="23">
        <f>'Growth Analysis'!D75</f>
        <v>16.678223079411978</v>
      </c>
      <c r="C76" s="20">
        <f t="shared" si="8"/>
        <v>16.673102657041351</v>
      </c>
      <c r="D76" s="20">
        <f t="shared" si="9"/>
        <v>5.1204223706271534E-3</v>
      </c>
      <c r="E76" s="20">
        <f t="shared" si="10"/>
        <v>1.7049678437047078E-2</v>
      </c>
      <c r="F76" s="20">
        <f t="shared" si="11"/>
        <v>-1.1929256066419924E-2</v>
      </c>
    </row>
    <row r="77" spans="1:6" ht="15" customHeight="1" x14ac:dyDescent="0.35">
      <c r="A77" s="18">
        <f>'Growth Analysis'!A76</f>
        <v>45653</v>
      </c>
      <c r="B77" s="23">
        <f>'Growth Analysis'!D76</f>
        <v>16.691503759193875</v>
      </c>
      <c r="C77" s="20">
        <f t="shared" si="8"/>
        <v>16.678223079411978</v>
      </c>
      <c r="D77" s="20">
        <f t="shared" si="9"/>
        <v>1.3280679781896509E-2</v>
      </c>
      <c r="E77" s="20">
        <f t="shared" si="10"/>
        <v>5.1204223706271534E-3</v>
      </c>
      <c r="F77" s="20">
        <f t="shared" si="11"/>
        <v>8.160257411269356E-3</v>
      </c>
    </row>
    <row r="78" spans="1:6" ht="15" customHeight="1" x14ac:dyDescent="0.35">
      <c r="A78" s="18">
        <f>'Growth Analysis'!A77</f>
        <v>45681</v>
      </c>
      <c r="B78" s="23">
        <f>'Growth Analysis'!D77</f>
        <v>16.698548742492441</v>
      </c>
      <c r="C78" s="20">
        <f t="shared" si="8"/>
        <v>16.691503759193875</v>
      </c>
      <c r="D78" s="20">
        <f t="shared" si="9"/>
        <v>7.0449832985666205E-3</v>
      </c>
      <c r="E78" s="20">
        <f t="shared" si="10"/>
        <v>1.3280679781896509E-2</v>
      </c>
      <c r="F78" s="20">
        <f t="shared" si="11"/>
        <v>-6.2356964833298889E-3</v>
      </c>
    </row>
    <row r="79" spans="1:6" ht="15" customHeight="1" x14ac:dyDescent="0.35">
      <c r="A79" s="18">
        <f>'Growth Analysis'!A78</f>
        <v>45709</v>
      </c>
      <c r="B79" s="23">
        <f>'Growth Analysis'!D78</f>
        <v>16.712825522583845</v>
      </c>
      <c r="C79" s="20">
        <f t="shared" si="8"/>
        <v>16.698548742492441</v>
      </c>
      <c r="D79" s="20">
        <f t="shared" si="9"/>
        <v>1.4276780091403651E-2</v>
      </c>
      <c r="E79" s="20">
        <f t="shared" si="10"/>
        <v>7.0449832985666205E-3</v>
      </c>
      <c r="F79" s="20">
        <f t="shared" si="11"/>
        <v>7.2317967928370308E-3</v>
      </c>
    </row>
    <row r="80" spans="1:6" ht="15" customHeight="1" x14ac:dyDescent="0.35">
      <c r="A80" s="18">
        <f>'Growth Analysis'!A79</f>
        <v>45737</v>
      </c>
      <c r="B80" s="23">
        <f>'Growth Analysis'!D79</f>
        <v>16.72793482204462</v>
      </c>
      <c r="C80" s="20">
        <f t="shared" si="8"/>
        <v>16.712825522583845</v>
      </c>
      <c r="D80" s="20">
        <f t="shared" si="9"/>
        <v>1.5109299460775105E-2</v>
      </c>
      <c r="E80" s="20">
        <f t="shared" si="10"/>
        <v>1.4276780091403651E-2</v>
      </c>
      <c r="F80" s="20">
        <f t="shared" si="11"/>
        <v>8.3251936937145388E-4</v>
      </c>
    </row>
    <row r="81" spans="1:6" ht="15" customHeight="1" x14ac:dyDescent="0.35">
      <c r="A81" s="18">
        <f>'Growth Analysis'!A80</f>
        <v>45765</v>
      </c>
      <c r="B81" s="23">
        <f>'Growth Analysis'!D80</f>
        <v>16.721663406277209</v>
      </c>
      <c r="C81" s="20">
        <f t="shared" si="8"/>
        <v>16.72793482204462</v>
      </c>
      <c r="D81" s="20">
        <f t="shared" si="9"/>
        <v>-6.2714157674115256E-3</v>
      </c>
      <c r="E81" s="20">
        <f t="shared" si="10"/>
        <v>1.5109299460775105E-2</v>
      </c>
      <c r="F81" s="20">
        <f t="shared" si="11"/>
        <v>-2.1380715228186631E-2</v>
      </c>
    </row>
    <row r="82" spans="1:6" ht="15" customHeight="1" x14ac:dyDescent="0.35">
      <c r="A82" s="18">
        <f>'Growth Analysis'!A81</f>
        <v>45807</v>
      </c>
      <c r="B82" s="23">
        <f>'Growth Analysis'!D81</f>
        <v>16.721721582524292</v>
      </c>
      <c r="C82" s="20">
        <f t="shared" si="8"/>
        <v>16.721663406277209</v>
      </c>
      <c r="D82" s="20">
        <f t="shared" si="9"/>
        <v>5.8176247083707722E-5</v>
      </c>
      <c r="E82" s="20">
        <f t="shared" si="10"/>
        <v>-6.2714157674115256E-3</v>
      </c>
      <c r="F82" s="20">
        <f t="shared" si="11"/>
        <v>6.3295920144952333E-3</v>
      </c>
    </row>
    <row r="83" spans="1:6" ht="15" customHeight="1" x14ac:dyDescent="0.35">
      <c r="A83" s="18">
        <f>'Growth Analysis'!A82</f>
        <v>45835</v>
      </c>
      <c r="B83" s="23">
        <f>'Growth Analysis'!D82</f>
        <v>16.732535051141006</v>
      </c>
      <c r="C83" s="20">
        <f t="shared" si="8"/>
        <v>16.721721582524292</v>
      </c>
      <c r="D83" s="20">
        <f t="shared" si="9"/>
        <v>1.0813468616714061E-2</v>
      </c>
      <c r="E83" s="20">
        <f t="shared" si="10"/>
        <v>5.8176247083707722E-5</v>
      </c>
      <c r="F83" s="20">
        <f t="shared" si="11"/>
        <v>1.0755292369630354E-2</v>
      </c>
    </row>
    <row r="84" spans="1:6" ht="15" customHeight="1" x14ac:dyDescent="0.35">
      <c r="A84" s="18">
        <f>'Growth Analysis'!A83</f>
        <v>45863</v>
      </c>
      <c r="B84" s="23">
        <f>'Growth Analysis'!D83</f>
        <v>16.733355719711028</v>
      </c>
      <c r="C84" s="20">
        <f t="shared" si="8"/>
        <v>16.732535051141006</v>
      </c>
      <c r="D84" s="20">
        <f t="shared" si="9"/>
        <v>8.2066857002160987E-4</v>
      </c>
      <c r="E84" s="20">
        <f t="shared" si="10"/>
        <v>1.0813468616714061E-2</v>
      </c>
      <c r="F84" s="20">
        <f t="shared" si="11"/>
        <v>-9.9928000466924516E-3</v>
      </c>
    </row>
    <row r="85" spans="1:6" ht="15" customHeight="1" x14ac:dyDescent="0.35">
      <c r="A85" s="18">
        <f>'Growth Analysis'!A84</f>
        <v>45891</v>
      </c>
      <c r="B85" s="23">
        <f>'Growth Analysis'!D84</f>
        <v>16.741088424102422</v>
      </c>
      <c r="C85" s="20">
        <f t="shared" si="8"/>
        <v>16.733355719711028</v>
      </c>
      <c r="D85" s="20">
        <f t="shared" si="9"/>
        <v>7.7327043913939519E-3</v>
      </c>
      <c r="E85" s="20">
        <f t="shared" si="10"/>
        <v>8.2066857002160987E-4</v>
      </c>
      <c r="F85" s="20">
        <f t="shared" si="11"/>
        <v>6.9120358213723421E-3</v>
      </c>
    </row>
    <row r="86" spans="1:6" ht="15" customHeight="1" x14ac:dyDescent="0.35">
      <c r="A86" s="18">
        <f>'Growth Analysis'!A85</f>
        <v>45919</v>
      </c>
      <c r="B86" s="23">
        <f>'Growth Analysis'!D85</f>
        <v>16.754827684916187</v>
      </c>
      <c r="C86" s="20">
        <f t="shared" si="8"/>
        <v>16.741088424102422</v>
      </c>
      <c r="D86" s="20">
        <f t="shared" si="9"/>
        <v>1.3739260813764531E-2</v>
      </c>
      <c r="E86" s="20">
        <f t="shared" si="10"/>
        <v>7.7327043913939519E-3</v>
      </c>
      <c r="F86" s="20">
        <f t="shared" si="11"/>
        <v>6.0065564223705792E-3</v>
      </c>
    </row>
    <row r="87" spans="1:6" ht="15" customHeight="1" x14ac:dyDescent="0.35">
      <c r="A87" s="18">
        <f>'Growth Analysis'!A86</f>
        <v>45961</v>
      </c>
      <c r="B87" s="23">
        <f>'Growth Analysis'!D86</f>
        <v>16.780293798418473</v>
      </c>
      <c r="C87" s="20">
        <f t="shared" si="8"/>
        <v>16.754827684916187</v>
      </c>
      <c r="D87" s="20">
        <f t="shared" si="9"/>
        <v>2.5466113502286447E-2</v>
      </c>
      <c r="E87" s="20">
        <f t="shared" si="10"/>
        <v>1.3739260813764531E-2</v>
      </c>
      <c r="F87" s="20">
        <f t="shared" si="11"/>
        <v>1.1726852688521916E-2</v>
      </c>
    </row>
    <row r="88" spans="1:6" ht="15" customHeight="1" x14ac:dyDescent="0.35">
      <c r="A88" s="18">
        <f>'Growth Analysis'!A87</f>
        <v>45989</v>
      </c>
      <c r="B88" s="23">
        <f>'Growth Analysis'!D87</f>
        <v>16.787324713766822</v>
      </c>
      <c r="C88" s="20">
        <f t="shared" si="8"/>
        <v>16.780293798418473</v>
      </c>
      <c r="D88" s="20">
        <f t="shared" si="9"/>
        <v>7.0309153483485431E-3</v>
      </c>
      <c r="E88" s="20">
        <f t="shared" si="10"/>
        <v>2.5466113502286447E-2</v>
      </c>
      <c r="F88" s="20">
        <f t="shared" si="11"/>
        <v>-1.8435198153937904E-2</v>
      </c>
    </row>
    <row r="89" spans="1:6" ht="15" customHeight="1" x14ac:dyDescent="0.35">
      <c r="A89" s="18">
        <f>'Growth Analysis'!A88</f>
        <v>46022</v>
      </c>
      <c r="B89" s="23">
        <f>'Growth Analysis'!D88</f>
        <v>16.827239965827818</v>
      </c>
      <c r="C89" s="20">
        <f t="shared" si="8"/>
        <v>16.787324713766822</v>
      </c>
      <c r="D89" s="20">
        <f t="shared" si="9"/>
        <v>3.9915252060996664E-2</v>
      </c>
      <c r="E89" s="20">
        <f t="shared" si="10"/>
        <v>7.0309153483485431E-3</v>
      </c>
      <c r="F89" s="20">
        <f t="shared" si="11"/>
        <v>3.2884336712648121E-2</v>
      </c>
    </row>
    <row r="90" spans="1:6" ht="15" customHeight="1" x14ac:dyDescent="0.35">
      <c r="A90" s="18">
        <f>'Growth Analysis'!A89</f>
        <v>46053</v>
      </c>
      <c r="B90" s="23">
        <f>'Growth Analysis'!D89</f>
        <v>16.83473384247446</v>
      </c>
      <c r="C90" s="20">
        <f t="shared" si="8"/>
        <v>16.827239965827818</v>
      </c>
      <c r="D90" s="20">
        <f t="shared" si="9"/>
        <v>7.4938766466416951E-3</v>
      </c>
      <c r="E90" s="20">
        <f t="shared" si="10"/>
        <v>3.9915252060996664E-2</v>
      </c>
      <c r="F90" s="20">
        <f t="shared" si="11"/>
        <v>-3.2421375414354969E-2</v>
      </c>
    </row>
    <row r="91" spans="1:6" ht="15" customHeight="1" x14ac:dyDescent="0.35">
      <c r="A91" s="18">
        <f>'Growth Analysis'!A90</f>
        <v>46081</v>
      </c>
      <c r="B91" s="23">
        <f>'Growth Analysis'!D90</f>
        <v>16.848253300515125</v>
      </c>
      <c r="C91" s="20">
        <f t="shared" si="8"/>
        <v>16.83473384247446</v>
      </c>
      <c r="D91" s="20">
        <f t="shared" si="9"/>
        <v>1.3519458040665455E-2</v>
      </c>
      <c r="E91" s="20">
        <f t="shared" si="10"/>
        <v>7.4938766466416951E-3</v>
      </c>
      <c r="F91" s="20">
        <f t="shared" si="11"/>
        <v>6.0255813940237601E-3</v>
      </c>
    </row>
    <row r="92" spans="1:6" ht="15" customHeight="1" x14ac:dyDescent="0.35">
      <c r="A92" s="18">
        <f>'Growth Analysis'!A91</f>
        <v>46112</v>
      </c>
      <c r="B92" s="23">
        <f>'Growth Analysis'!D91</f>
        <v>16.877097739276156</v>
      </c>
      <c r="C92" s="20">
        <f t="shared" si="8"/>
        <v>16.848253300515125</v>
      </c>
      <c r="D92" s="20">
        <f t="shared" si="9"/>
        <v>2.8844438761030489E-2</v>
      </c>
      <c r="E92" s="20">
        <f t="shared" si="10"/>
        <v>1.3519458040665455E-2</v>
      </c>
      <c r="F92" s="20">
        <f t="shared" si="11"/>
        <v>1.5324980720365033E-2</v>
      </c>
    </row>
    <row r="93" spans="1:6" ht="15" customHeight="1" x14ac:dyDescent="0.35">
      <c r="A93" s="18">
        <f>'Growth Analysis'!A92</f>
        <v>46142</v>
      </c>
      <c r="B93" s="23">
        <f>'Growth Analysis'!D92</f>
        <v>16.870069523203007</v>
      </c>
      <c r="C93" s="20">
        <f t="shared" si="8"/>
        <v>16.877097739276156</v>
      </c>
      <c r="D93" s="20">
        <f t="shared" si="9"/>
        <v>-7.0282160731487409E-3</v>
      </c>
      <c r="E93" s="20">
        <f t="shared" si="10"/>
        <v>2.8844438761030489E-2</v>
      </c>
      <c r="F93" s="20">
        <f t="shared" si="11"/>
        <v>-3.587265483417923E-2</v>
      </c>
    </row>
    <row r="94" spans="1:6" ht="15" customHeight="1" x14ac:dyDescent="0.35">
      <c r="A94" s="18">
        <f>'Growth Analysis'!A93</f>
        <v>46173</v>
      </c>
      <c r="B94" s="23">
        <f>'Growth Analysis'!D93</f>
        <v>16.884305778930933</v>
      </c>
      <c r="C94" s="20">
        <f t="shared" si="8"/>
        <v>16.870069523203007</v>
      </c>
      <c r="D94" s="20">
        <f t="shared" si="9"/>
        <v>1.4236255727926306E-2</v>
      </c>
      <c r="E94" s="20">
        <f t="shared" si="10"/>
        <v>-7.0282160731487409E-3</v>
      </c>
      <c r="F94" s="20">
        <f t="shared" si="11"/>
        <v>2.1264471801075047E-2</v>
      </c>
    </row>
    <row r="95" spans="1:6" ht="15" customHeight="1" x14ac:dyDescent="0.35">
      <c r="A95" s="18">
        <f>'Growth Analysis'!A94</f>
        <v>46203</v>
      </c>
      <c r="B95" s="23">
        <f>'Growth Analysis'!D94</f>
        <v>16.903291548074179</v>
      </c>
      <c r="C95" s="20">
        <f t="shared" si="8"/>
        <v>16.884305778930933</v>
      </c>
      <c r="D95" s="20">
        <f t="shared" si="9"/>
        <v>1.898576914324579E-2</v>
      </c>
      <c r="E95" s="20">
        <f t="shared" si="10"/>
        <v>1.4236255727926306E-2</v>
      </c>
      <c r="F95" s="20">
        <f t="shared" si="11"/>
        <v>4.749513415319484E-3</v>
      </c>
    </row>
    <row r="98" spans="1:3" ht="15" customHeight="1" x14ac:dyDescent="0.35">
      <c r="A98" s="5" t="s">
        <v>47</v>
      </c>
      <c r="B98" s="5" t="s">
        <v>48</v>
      </c>
      <c r="C98" s="5" t="s">
        <v>49</v>
      </c>
    </row>
    <row r="99" spans="1:3" ht="15" customHeight="1" x14ac:dyDescent="0.35">
      <c r="A99" s="7" t="s">
        <v>50</v>
      </c>
      <c r="B99" s="20">
        <f>COUNT(D7:D95)</f>
        <v>89</v>
      </c>
      <c r="C99" s="20">
        <f>COUNT(F8:F95)</f>
        <v>88</v>
      </c>
    </row>
    <row r="100" spans="1:3" ht="15" customHeight="1" x14ac:dyDescent="0.35">
      <c r="A100" s="7" t="s">
        <v>51</v>
      </c>
      <c r="B100" s="20">
        <f>SLOPE(D7:D95,C7:C95)</f>
        <v>8.673785331990971E-3</v>
      </c>
      <c r="C100" s="20">
        <f>SLOPE(F8:F95,E8:E95)</f>
        <v>-1.0853855952983771</v>
      </c>
    </row>
    <row r="101" spans="1:3" ht="15" customHeight="1" x14ac:dyDescent="0.35">
      <c r="A101" s="7" t="s">
        <v>52</v>
      </c>
      <c r="B101" s="20">
        <f>INTERCEPT(D7:D95,C7:C95)</f>
        <v>-0.13270251485551268</v>
      </c>
      <c r="C101" s="20">
        <f>INTERCEPT(F8:F95,E8:E95)</f>
        <v>1.0387587238493314E-2</v>
      </c>
    </row>
    <row r="102" spans="1:3" ht="15" customHeight="1" x14ac:dyDescent="0.35">
      <c r="A102" s="7" t="s">
        <v>53</v>
      </c>
      <c r="B102" s="20">
        <f>STEYX(D7:D95,C7:C95)</f>
        <v>1.0743128862420069E-2</v>
      </c>
      <c r="C102" s="20">
        <f>STEYX(F8:F95,E8:E95)</f>
        <v>1.0997587002252082E-2</v>
      </c>
    </row>
    <row r="103" spans="1:3" ht="15" customHeight="1" x14ac:dyDescent="0.35">
      <c r="A103" s="7" t="s">
        <v>54</v>
      </c>
      <c r="B103" s="20">
        <f>DEVSQ(C7:C95)</f>
        <v>5.8445400041146245</v>
      </c>
      <c r="C103" s="20">
        <f>DEVSQ(E8:E95)</f>
        <v>1.0391679517353619E-2</v>
      </c>
    </row>
    <row r="104" spans="1:3" ht="15" customHeight="1" x14ac:dyDescent="0.35">
      <c r="A104" s="7" t="s">
        <v>55</v>
      </c>
      <c r="B104" s="20">
        <f>B102/SQRT(B103)</f>
        <v>4.4438113848835155E-3</v>
      </c>
      <c r="C104" s="20">
        <f>C102/SQRT(C103)</f>
        <v>0.10788337742581915</v>
      </c>
    </row>
    <row r="105" spans="1:3" ht="15" customHeight="1" x14ac:dyDescent="0.35">
      <c r="A105" s="5" t="s">
        <v>56</v>
      </c>
      <c r="B105" s="24">
        <f>B100/B104</f>
        <v>1.9518797223249686</v>
      </c>
      <c r="C105" s="24">
        <f>C100/C104</f>
        <v>-10.060730588868434</v>
      </c>
    </row>
    <row r="106" spans="1:3" ht="15" customHeight="1" x14ac:dyDescent="0.35">
      <c r="A106" s="7" t="s">
        <v>57</v>
      </c>
      <c r="B106" s="25">
        <v>-2.89</v>
      </c>
      <c r="C106" s="25">
        <v>-2.89</v>
      </c>
    </row>
    <row r="107" spans="1:3" ht="15" customHeight="1" x14ac:dyDescent="0.35">
      <c r="A107" s="5" t="s">
        <v>58</v>
      </c>
      <c r="B107" s="5" t="str">
        <f>IF(B105&gt;B106,"NON-stationary (unit root not rejected)","Stationary")</f>
        <v>NON-stationary (unit root not rejected)</v>
      </c>
      <c r="C107" s="5" t="str">
        <f>IF(C105&gt;C106,"NON-stationary (unit root not rejected)","Stationary")</f>
        <v>Stationary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4"/>
  <sheetViews>
    <sheetView zoomScaleNormal="100" workbookViewId="0">
      <pane ySplit="4" topLeftCell="A31" activePane="bottomLeft" state="frozen"/>
      <selection activeCell="E14" sqref="E14"/>
      <selection pane="bottomLeft" activeCell="C9" sqref="C9"/>
    </sheetView>
  </sheetViews>
  <sheetFormatPr defaultColWidth="8.6328125" defaultRowHeight="14.5" x14ac:dyDescent="0.35"/>
  <cols>
    <col min="1" max="1" width="12" style="3" customWidth="1"/>
    <col min="2" max="17" width="14" style="3" customWidth="1"/>
  </cols>
  <sheetData>
    <row r="1" spans="1:17" ht="17.25" customHeight="1" x14ac:dyDescent="0.4">
      <c r="A1" s="14" t="s">
        <v>99</v>
      </c>
    </row>
    <row r="2" spans="1:17" ht="15" customHeight="1" x14ac:dyDescent="0.35">
      <c r="A2" s="15" t="s">
        <v>21</v>
      </c>
    </row>
    <row r="4" spans="1:17" ht="15" customHeight="1" x14ac:dyDescent="0.35">
      <c r="A4" s="6" t="s">
        <v>22</v>
      </c>
      <c r="B4" s="6" t="s">
        <v>23</v>
      </c>
      <c r="C4" s="6" t="s">
        <v>24</v>
      </c>
      <c r="D4" s="6" t="s">
        <v>25</v>
      </c>
      <c r="E4" s="6" t="s">
        <v>17</v>
      </c>
      <c r="F4" s="6" t="s">
        <v>18</v>
      </c>
      <c r="G4" s="6" t="s">
        <v>26</v>
      </c>
      <c r="H4" s="6" t="s">
        <v>27</v>
      </c>
      <c r="I4" s="6" t="s">
        <v>28</v>
      </c>
      <c r="J4" s="6" t="s">
        <v>19</v>
      </c>
      <c r="K4" s="6" t="s">
        <v>29</v>
      </c>
      <c r="L4" s="6" t="s">
        <v>30</v>
      </c>
      <c r="M4" s="6" t="s">
        <v>20</v>
      </c>
      <c r="N4" s="6" t="s">
        <v>31</v>
      </c>
      <c r="O4" s="6" t="s">
        <v>32</v>
      </c>
      <c r="P4" s="6" t="s">
        <v>33</v>
      </c>
      <c r="Q4" s="6" t="s">
        <v>34</v>
      </c>
    </row>
    <row r="5" spans="1:17" ht="15" customHeight="1" x14ac:dyDescent="0.35">
      <c r="A5" s="16">
        <v>43483</v>
      </c>
      <c r="B5" s="17">
        <v>9332554.5500000007</v>
      </c>
      <c r="C5" s="17">
        <v>70948.899999999994</v>
      </c>
      <c r="D5" s="17">
        <v>9261605.6500000004</v>
      </c>
      <c r="E5" s="17">
        <v>1083490.18</v>
      </c>
      <c r="F5" s="17">
        <v>2715406.47</v>
      </c>
      <c r="G5" s="17">
        <v>366705.18</v>
      </c>
      <c r="H5" s="17">
        <v>103061.49</v>
      </c>
      <c r="I5" s="17">
        <v>2245639.7999999998</v>
      </c>
      <c r="J5" s="17">
        <v>2197969.0299999998</v>
      </c>
      <c r="K5" s="17">
        <v>473408.83</v>
      </c>
      <c r="L5" s="17">
        <v>662551.6</v>
      </c>
      <c r="M5" s="17">
        <v>2224620.75</v>
      </c>
      <c r="N5" s="17">
        <v>1141732.79</v>
      </c>
      <c r="O5" s="17">
        <v>83645.81</v>
      </c>
      <c r="P5" s="17">
        <v>281694.44</v>
      </c>
      <c r="Q5" s="17">
        <v>24444.880000000001</v>
      </c>
    </row>
    <row r="6" spans="1:17" ht="15" customHeight="1" x14ac:dyDescent="0.35">
      <c r="A6" s="16">
        <v>43511</v>
      </c>
      <c r="B6" s="17">
        <v>9440365.932</v>
      </c>
      <c r="C6" s="17">
        <v>61740.17</v>
      </c>
      <c r="D6" s="17">
        <v>9378625.7620000001</v>
      </c>
      <c r="E6" s="17">
        <v>1093808.93</v>
      </c>
      <c r="F6" s="17">
        <v>2745352.94</v>
      </c>
      <c r="G6" s="17">
        <v>366469.12</v>
      </c>
      <c r="H6" s="17">
        <v>95665.61</v>
      </c>
      <c r="I6" s="17">
        <v>2283218.21</v>
      </c>
      <c r="J6" s="17">
        <v>2219139.8199999998</v>
      </c>
      <c r="K6" s="17">
        <v>480042.95</v>
      </c>
      <c r="L6" s="17">
        <v>707143.7</v>
      </c>
      <c r="M6" s="17">
        <v>2246808.7999999998</v>
      </c>
      <c r="N6" s="17">
        <v>1153719.3400000001</v>
      </c>
      <c r="O6" s="17">
        <v>82798.710000000006</v>
      </c>
      <c r="P6" s="17">
        <v>282226.51</v>
      </c>
      <c r="Q6" s="17">
        <v>24600.01</v>
      </c>
    </row>
    <row r="7" spans="1:17" ht="15" customHeight="1" x14ac:dyDescent="0.35">
      <c r="A7" s="16">
        <v>43553</v>
      </c>
      <c r="B7" s="17">
        <v>9771722.4352000002</v>
      </c>
      <c r="C7" s="17">
        <v>41610.33</v>
      </c>
      <c r="D7" s="17">
        <v>9730112.1052000001</v>
      </c>
      <c r="E7" s="17">
        <v>1113066.93</v>
      </c>
      <c r="F7" s="17">
        <v>2837528.33</v>
      </c>
      <c r="G7" s="17">
        <v>371373.79</v>
      </c>
      <c r="H7" s="17">
        <v>100786.17</v>
      </c>
      <c r="I7" s="17">
        <v>2365368.37</v>
      </c>
      <c r="J7" s="17">
        <v>2340658.5299999998</v>
      </c>
      <c r="K7" s="17">
        <v>479994.12</v>
      </c>
      <c r="L7" s="17">
        <v>751146.21</v>
      </c>
      <c r="M7" s="17">
        <v>2303143.5099999998</v>
      </c>
      <c r="N7" s="17">
        <v>1176510.06</v>
      </c>
      <c r="O7" s="17">
        <v>87685.62</v>
      </c>
      <c r="P7" s="17">
        <v>285257.82</v>
      </c>
      <c r="Q7" s="17">
        <v>24670.77</v>
      </c>
    </row>
    <row r="8" spans="1:17" ht="15" customHeight="1" x14ac:dyDescent="0.35">
      <c r="A8" s="16">
        <v>43581</v>
      </c>
      <c r="B8" s="17">
        <v>9620945.4914999995</v>
      </c>
      <c r="C8" s="17">
        <v>43161.73</v>
      </c>
      <c r="D8" s="17">
        <v>9577783.7614999991</v>
      </c>
      <c r="E8" s="17">
        <v>1106651.26</v>
      </c>
      <c r="F8" s="17">
        <v>2817879.12</v>
      </c>
      <c r="G8" s="17">
        <v>375467.41</v>
      </c>
      <c r="H8" s="17">
        <v>102426.35</v>
      </c>
      <c r="I8" s="17">
        <v>2339985.36</v>
      </c>
      <c r="J8" s="17">
        <v>2279245.15</v>
      </c>
      <c r="K8" s="17">
        <v>488789.7</v>
      </c>
      <c r="L8" s="17">
        <v>725245.92</v>
      </c>
      <c r="M8" s="17">
        <v>2308478.86</v>
      </c>
      <c r="N8" s="17">
        <v>1187097.79</v>
      </c>
      <c r="O8" s="17">
        <v>91931.27</v>
      </c>
      <c r="P8" s="17">
        <v>285567.84000000003</v>
      </c>
      <c r="Q8" s="17">
        <v>24577.71</v>
      </c>
    </row>
    <row r="9" spans="1:17" ht="15" customHeight="1" x14ac:dyDescent="0.35">
      <c r="A9" s="16">
        <v>43609</v>
      </c>
      <c r="B9" s="17">
        <v>9621544.9886000007</v>
      </c>
      <c r="C9" s="17">
        <v>65722.59</v>
      </c>
      <c r="D9" s="17">
        <v>9555822.3986000009</v>
      </c>
      <c r="E9" s="17">
        <v>1100190.8600000001</v>
      </c>
      <c r="F9" s="17">
        <v>2771471.96</v>
      </c>
      <c r="G9" s="17">
        <v>356696.46</v>
      </c>
      <c r="H9" s="17">
        <v>99345.32</v>
      </c>
      <c r="I9" s="17">
        <v>2315430.1800000002</v>
      </c>
      <c r="J9" s="17">
        <v>2231603.91</v>
      </c>
      <c r="K9" s="17">
        <v>476998.73</v>
      </c>
      <c r="L9" s="17">
        <v>705605.83</v>
      </c>
      <c r="M9" s="17">
        <v>2321474.46</v>
      </c>
      <c r="N9" s="17">
        <v>1192750.18</v>
      </c>
      <c r="O9" s="17">
        <v>93038.7</v>
      </c>
      <c r="P9" s="17">
        <v>287246.09000000003</v>
      </c>
      <c r="Q9" s="17">
        <v>25849.01</v>
      </c>
    </row>
    <row r="10" spans="1:17" ht="15" customHeight="1" x14ac:dyDescent="0.35">
      <c r="A10" s="16">
        <v>43637</v>
      </c>
      <c r="B10" s="17">
        <v>9648768.2612999994</v>
      </c>
      <c r="C10" s="17">
        <v>71419.48</v>
      </c>
      <c r="D10" s="17">
        <v>9577348.7813000008</v>
      </c>
      <c r="E10" s="17">
        <v>1099263.54</v>
      </c>
      <c r="F10" s="17">
        <v>2780229.12</v>
      </c>
      <c r="G10" s="17">
        <v>355198.47</v>
      </c>
      <c r="H10" s="17">
        <v>99453.24</v>
      </c>
      <c r="I10" s="17">
        <v>2325577.41</v>
      </c>
      <c r="J10" s="17">
        <v>2232076.4500000002</v>
      </c>
      <c r="K10" s="17">
        <v>477763.23</v>
      </c>
      <c r="L10" s="17">
        <v>708269.67</v>
      </c>
      <c r="M10" s="17">
        <v>2339939.5699999998</v>
      </c>
      <c r="N10" s="17">
        <v>1208164.1299999999</v>
      </c>
      <c r="O10" s="17">
        <v>94292.74</v>
      </c>
      <c r="P10" s="17">
        <v>286279.3</v>
      </c>
      <c r="Q10" s="17">
        <v>27102.28</v>
      </c>
    </row>
    <row r="11" spans="1:17" ht="15" customHeight="1" x14ac:dyDescent="0.35">
      <c r="A11" s="16">
        <v>43665</v>
      </c>
      <c r="B11" s="17">
        <v>9658377.6834999993</v>
      </c>
      <c r="C11" s="17">
        <v>66001.53</v>
      </c>
      <c r="D11" s="17">
        <v>9592376.1535</v>
      </c>
      <c r="E11" s="17">
        <v>1107296.32</v>
      </c>
      <c r="F11" s="17">
        <v>2761535.02</v>
      </c>
      <c r="G11" s="17">
        <v>355607.63</v>
      </c>
      <c r="H11" s="17">
        <v>99649.73</v>
      </c>
      <c r="I11" s="17">
        <v>2306277.66</v>
      </c>
      <c r="J11" s="17">
        <v>2251033.96</v>
      </c>
      <c r="K11" s="17">
        <v>484917.07</v>
      </c>
      <c r="L11" s="17">
        <v>735161.49</v>
      </c>
      <c r="M11" s="17">
        <v>2367432.2799999998</v>
      </c>
      <c r="N11" s="17">
        <v>1222853.69</v>
      </c>
      <c r="O11" s="17">
        <v>93377.19</v>
      </c>
      <c r="P11" s="17">
        <v>287772.52</v>
      </c>
      <c r="Q11" s="17">
        <v>27214.94</v>
      </c>
    </row>
    <row r="12" spans="1:17" ht="15" customHeight="1" x14ac:dyDescent="0.35">
      <c r="A12" s="16">
        <v>43707</v>
      </c>
      <c r="B12" s="17">
        <v>9680153.4437000006</v>
      </c>
      <c r="C12" s="17">
        <v>62391.61</v>
      </c>
      <c r="D12" s="17">
        <v>9617761.8336999994</v>
      </c>
      <c r="E12" s="17">
        <v>1108772.29</v>
      </c>
      <c r="F12" s="17">
        <v>2737075.98</v>
      </c>
      <c r="G12" s="17">
        <v>363984.51</v>
      </c>
      <c r="H12" s="17">
        <v>101254.61</v>
      </c>
      <c r="I12" s="17">
        <v>2271836.86</v>
      </c>
      <c r="J12" s="17">
        <v>2269022.52</v>
      </c>
      <c r="K12" s="17">
        <v>474172.15999999997</v>
      </c>
      <c r="L12" s="17">
        <v>770593.19</v>
      </c>
      <c r="M12" s="17">
        <v>2387855.12</v>
      </c>
      <c r="N12" s="17">
        <v>1236210.8999999999</v>
      </c>
      <c r="O12" s="17">
        <v>96972.74</v>
      </c>
      <c r="P12" s="17">
        <v>289025.36</v>
      </c>
      <c r="Q12" s="17">
        <v>27598.38</v>
      </c>
    </row>
    <row r="13" spans="1:17" ht="15" customHeight="1" x14ac:dyDescent="0.35">
      <c r="A13" s="16">
        <v>43735</v>
      </c>
      <c r="B13" s="17">
        <v>9766853.8561899997</v>
      </c>
      <c r="C13" s="17">
        <v>60085.07</v>
      </c>
      <c r="D13" s="17">
        <v>9706768.7861899994</v>
      </c>
      <c r="E13" s="17">
        <v>1123070.58</v>
      </c>
      <c r="F13" s="17">
        <v>2730943.18</v>
      </c>
      <c r="G13" s="17">
        <v>370444.47</v>
      </c>
      <c r="H13" s="17">
        <v>101777.96</v>
      </c>
      <c r="I13" s="17">
        <v>2258720.75</v>
      </c>
      <c r="J13" s="17">
        <v>2321272.9300000002</v>
      </c>
      <c r="K13" s="17">
        <v>479134.01</v>
      </c>
      <c r="L13" s="17">
        <v>799158.88</v>
      </c>
      <c r="M13" s="17">
        <v>2425102.4</v>
      </c>
      <c r="N13" s="17">
        <v>1255411.17</v>
      </c>
      <c r="O13" s="17">
        <v>98607.5</v>
      </c>
      <c r="P13" s="17">
        <v>289152.96999999997</v>
      </c>
      <c r="Q13" s="17">
        <v>28828.15</v>
      </c>
    </row>
    <row r="14" spans="1:17" ht="15" customHeight="1" x14ac:dyDescent="0.35">
      <c r="A14" s="16">
        <v>43763</v>
      </c>
      <c r="B14" s="17">
        <v>9840562.3136999998</v>
      </c>
      <c r="C14" s="17">
        <v>69778.61</v>
      </c>
      <c r="D14" s="17">
        <v>9770783.7037000004</v>
      </c>
      <c r="E14" s="17">
        <v>1174598.1499999999</v>
      </c>
      <c r="F14" s="17">
        <v>2892418.98</v>
      </c>
      <c r="G14" s="17">
        <v>384347.29</v>
      </c>
      <c r="H14" s="17">
        <v>106260.38</v>
      </c>
      <c r="I14" s="17">
        <v>2401811.31</v>
      </c>
      <c r="J14" s="17">
        <v>2465636.5499999998</v>
      </c>
      <c r="K14" s="17">
        <v>504713.98</v>
      </c>
      <c r="L14" s="17">
        <v>814566.33</v>
      </c>
      <c r="M14" s="17">
        <v>2561501.64</v>
      </c>
      <c r="N14" s="17">
        <v>1295242.23</v>
      </c>
      <c r="O14" s="17">
        <v>113798.86</v>
      </c>
      <c r="P14" s="17">
        <v>322367.84000000003</v>
      </c>
      <c r="Q14" s="17">
        <v>28926.07</v>
      </c>
    </row>
    <row r="15" spans="1:17" ht="15" customHeight="1" x14ac:dyDescent="0.35">
      <c r="A15" s="16">
        <v>43791</v>
      </c>
      <c r="B15" s="17">
        <v>9860302.6499600001</v>
      </c>
      <c r="C15" s="17">
        <v>91304.09</v>
      </c>
      <c r="D15" s="17">
        <v>9768998.5599600002</v>
      </c>
      <c r="E15" s="17">
        <v>1176104.4099999999</v>
      </c>
      <c r="F15" s="17">
        <v>2866553.89</v>
      </c>
      <c r="G15" s="17">
        <v>387509.92</v>
      </c>
      <c r="H15" s="17">
        <v>104484.63</v>
      </c>
      <c r="I15" s="17">
        <v>2374559.34</v>
      </c>
      <c r="J15" s="17">
        <v>2465378.4700000002</v>
      </c>
      <c r="K15" s="17">
        <v>490070.12</v>
      </c>
      <c r="L15" s="17">
        <v>836140.62</v>
      </c>
      <c r="M15" s="17">
        <v>2578861.85</v>
      </c>
      <c r="N15" s="17">
        <v>1302222.8999999999</v>
      </c>
      <c r="O15" s="17">
        <v>114898.72</v>
      </c>
      <c r="P15" s="17">
        <v>323778.44</v>
      </c>
      <c r="Q15" s="17">
        <v>29276.84</v>
      </c>
    </row>
    <row r="16" spans="1:17" ht="15" customHeight="1" x14ac:dyDescent="0.35">
      <c r="A16" s="16">
        <v>43819</v>
      </c>
      <c r="B16" s="17">
        <v>10036091.7838</v>
      </c>
      <c r="C16" s="17">
        <v>83502.17</v>
      </c>
      <c r="D16" s="17">
        <v>9952589.6138000004</v>
      </c>
      <c r="E16" s="17">
        <v>1177788.24</v>
      </c>
      <c r="F16" s="17">
        <v>2848416.11</v>
      </c>
      <c r="G16" s="17">
        <v>381558.32</v>
      </c>
      <c r="H16" s="17">
        <v>106798.42</v>
      </c>
      <c r="I16" s="17">
        <v>2360059.37</v>
      </c>
      <c r="J16" s="17">
        <v>2482561.96</v>
      </c>
      <c r="K16" s="17">
        <v>503873.93</v>
      </c>
      <c r="L16" s="17">
        <v>846292.74</v>
      </c>
      <c r="M16" s="17">
        <v>2604683.62</v>
      </c>
      <c r="N16" s="17">
        <v>1303749.8700000001</v>
      </c>
      <c r="O16" s="17">
        <v>115188.48</v>
      </c>
      <c r="P16" s="17">
        <v>325253.36</v>
      </c>
      <c r="Q16" s="17">
        <v>29104.55</v>
      </c>
    </row>
    <row r="17" spans="1:17" ht="15" customHeight="1" x14ac:dyDescent="0.35">
      <c r="A17" s="16">
        <v>43861</v>
      </c>
      <c r="B17" s="17">
        <v>10105176.35551</v>
      </c>
      <c r="C17" s="17">
        <v>78899.97</v>
      </c>
      <c r="D17" s="17">
        <v>10026276.385509999</v>
      </c>
      <c r="E17" s="17">
        <v>1196981.8</v>
      </c>
      <c r="F17" s="17">
        <v>2869245.82</v>
      </c>
      <c r="G17" s="17">
        <v>400441.4</v>
      </c>
      <c r="H17" s="17">
        <v>109805.84</v>
      </c>
      <c r="I17" s="17">
        <v>2358998.58</v>
      </c>
      <c r="J17" s="17">
        <v>2531566.92</v>
      </c>
      <c r="K17" s="17">
        <v>523734.13</v>
      </c>
      <c r="L17" s="17">
        <v>842900.25</v>
      </c>
      <c r="M17" s="17">
        <v>2685467.94</v>
      </c>
      <c r="N17" s="17">
        <v>1341242.32</v>
      </c>
      <c r="O17" s="17">
        <v>122125.57</v>
      </c>
      <c r="P17" s="17">
        <v>336405.85</v>
      </c>
      <c r="Q17" s="17">
        <v>31862.76</v>
      </c>
    </row>
    <row r="18" spans="1:17" ht="15" customHeight="1" x14ac:dyDescent="0.35">
      <c r="A18" s="16">
        <v>43889</v>
      </c>
      <c r="B18" s="17">
        <v>10104866.31986</v>
      </c>
      <c r="C18" s="17">
        <v>65596.37</v>
      </c>
      <c r="D18" s="17">
        <v>10039269.949859999</v>
      </c>
      <c r="E18" s="17">
        <v>1200837.27</v>
      </c>
      <c r="F18" s="17">
        <v>2871313.05</v>
      </c>
      <c r="G18" s="17">
        <v>402388.94</v>
      </c>
      <c r="H18" s="17">
        <v>108217.67</v>
      </c>
      <c r="I18" s="17">
        <v>2360706.44</v>
      </c>
      <c r="J18" s="17">
        <v>2535867.81</v>
      </c>
      <c r="K18" s="17">
        <v>539191.91</v>
      </c>
      <c r="L18" s="17">
        <v>820315.42</v>
      </c>
      <c r="M18" s="17">
        <v>2706185.59</v>
      </c>
      <c r="N18" s="17">
        <v>1350946.76</v>
      </c>
      <c r="O18" s="17">
        <v>122774.86</v>
      </c>
      <c r="P18" s="17">
        <v>336779.21</v>
      </c>
      <c r="Q18" s="17">
        <v>31785.93</v>
      </c>
    </row>
    <row r="19" spans="1:17" ht="15" customHeight="1" x14ac:dyDescent="0.35">
      <c r="A19" s="16">
        <v>43917</v>
      </c>
      <c r="B19" s="17">
        <v>10370860.683119999</v>
      </c>
      <c r="C19" s="17">
        <v>51763.97</v>
      </c>
      <c r="D19" s="17">
        <v>10319096.71312</v>
      </c>
      <c r="E19" s="17">
        <v>1203175.78</v>
      </c>
      <c r="F19" s="17">
        <v>2946851.25</v>
      </c>
      <c r="G19" s="17">
        <v>403050.99</v>
      </c>
      <c r="H19" s="17">
        <v>108572.77</v>
      </c>
      <c r="I19" s="17">
        <v>2435227.4900000002</v>
      </c>
      <c r="J19" s="17">
        <v>2672047.27</v>
      </c>
      <c r="K19" s="17">
        <v>557115.31000000006</v>
      </c>
      <c r="L19" s="17">
        <v>950900.73</v>
      </c>
      <c r="M19" s="17">
        <v>2726863.88</v>
      </c>
      <c r="N19" s="17">
        <v>1361880.1</v>
      </c>
      <c r="O19" s="17">
        <v>119914.21</v>
      </c>
      <c r="P19" s="17">
        <v>339518.89</v>
      </c>
      <c r="Q19" s="17">
        <v>33256.93</v>
      </c>
    </row>
    <row r="20" spans="1:17" ht="15" customHeight="1" x14ac:dyDescent="0.35">
      <c r="A20" s="16">
        <v>43945</v>
      </c>
      <c r="B20" s="17">
        <v>10273415.78664</v>
      </c>
      <c r="C20" s="17">
        <v>52643.42</v>
      </c>
      <c r="D20" s="17">
        <v>10220772.36664</v>
      </c>
      <c r="E20" s="17">
        <v>1207669.3899999999</v>
      </c>
      <c r="F20" s="17">
        <v>2928353.27</v>
      </c>
      <c r="G20" s="17">
        <v>388943.54</v>
      </c>
      <c r="H20" s="17">
        <v>101204.99</v>
      </c>
      <c r="I20" s="17">
        <v>2438204.7400000002</v>
      </c>
      <c r="J20" s="17">
        <v>2654269.16</v>
      </c>
      <c r="K20" s="17">
        <v>561505.93000000005</v>
      </c>
      <c r="L20" s="17">
        <v>898191.55</v>
      </c>
      <c r="M20" s="17">
        <v>2678182.04</v>
      </c>
      <c r="N20" s="17">
        <v>1364704.23</v>
      </c>
      <c r="O20" s="17">
        <v>108096.43</v>
      </c>
      <c r="P20" s="17">
        <v>334649.13</v>
      </c>
      <c r="Q20" s="17">
        <v>33374.379999999997</v>
      </c>
    </row>
    <row r="21" spans="1:17" ht="15" customHeight="1" x14ac:dyDescent="0.35">
      <c r="A21" s="16">
        <v>43973</v>
      </c>
      <c r="B21" s="17">
        <v>10222753.1829</v>
      </c>
      <c r="C21" s="17">
        <v>79416.240000000005</v>
      </c>
      <c r="D21" s="17">
        <v>10143336.9429</v>
      </c>
      <c r="E21" s="17">
        <v>1212912.79</v>
      </c>
      <c r="F21" s="17">
        <v>2904685.07</v>
      </c>
      <c r="G21" s="17">
        <v>380861.81</v>
      </c>
      <c r="H21" s="17">
        <v>101911.34</v>
      </c>
      <c r="I21" s="17">
        <v>2421911.92</v>
      </c>
      <c r="J21" s="17">
        <v>2607610.2200000002</v>
      </c>
      <c r="K21" s="17">
        <v>545931.99</v>
      </c>
      <c r="L21" s="17">
        <v>892632.63</v>
      </c>
      <c r="M21" s="17">
        <v>2642260.17</v>
      </c>
      <c r="N21" s="17">
        <v>1353527.62</v>
      </c>
      <c r="O21" s="17">
        <v>103697.49</v>
      </c>
      <c r="P21" s="17">
        <v>329330.21999999997</v>
      </c>
      <c r="Q21" s="17">
        <v>33641.82</v>
      </c>
    </row>
    <row r="22" spans="1:17" ht="15" customHeight="1" x14ac:dyDescent="0.35">
      <c r="A22" s="16">
        <v>44001</v>
      </c>
      <c r="B22" s="17">
        <v>10245677.47013</v>
      </c>
      <c r="C22" s="17">
        <v>89288.99</v>
      </c>
      <c r="D22" s="17">
        <v>10156388.48013</v>
      </c>
      <c r="E22" s="17">
        <v>1201420.1100000001</v>
      </c>
      <c r="F22" s="17">
        <v>2911362.69</v>
      </c>
      <c r="G22" s="17">
        <v>383486.49</v>
      </c>
      <c r="H22" s="17">
        <v>96987.34</v>
      </c>
      <c r="I22" s="17">
        <v>2430888.86</v>
      </c>
      <c r="J22" s="17">
        <v>2617905.38</v>
      </c>
      <c r="K22" s="17">
        <v>552196.30000000005</v>
      </c>
      <c r="L22" s="17">
        <v>884343.91</v>
      </c>
      <c r="M22" s="17">
        <v>2655681.33</v>
      </c>
      <c r="N22" s="17">
        <v>1360211.3</v>
      </c>
      <c r="O22" s="17">
        <v>108672.19</v>
      </c>
      <c r="P22" s="17">
        <v>328959.94</v>
      </c>
      <c r="Q22" s="17">
        <v>35245.339999999997</v>
      </c>
    </row>
    <row r="23" spans="1:17" ht="15" customHeight="1" x14ac:dyDescent="0.35">
      <c r="A23" s="16">
        <v>44043</v>
      </c>
      <c r="B23" s="17">
        <v>10282056.887979999</v>
      </c>
      <c r="C23" s="17">
        <v>79287.5</v>
      </c>
      <c r="D23" s="17">
        <v>10202769.387979999</v>
      </c>
      <c r="E23" s="17">
        <v>1215664.3</v>
      </c>
      <c r="F23" s="17">
        <v>2868970.47</v>
      </c>
      <c r="G23" s="17">
        <v>393157</v>
      </c>
      <c r="H23" s="17">
        <v>103986.93</v>
      </c>
      <c r="I23" s="17">
        <v>2371826.54</v>
      </c>
      <c r="J23" s="17">
        <v>2624302.29</v>
      </c>
      <c r="K23" s="17">
        <v>586699.25</v>
      </c>
      <c r="L23" s="17">
        <v>878010.69</v>
      </c>
      <c r="M23" s="17">
        <v>2701387.01</v>
      </c>
      <c r="N23" s="17">
        <v>1375160.94</v>
      </c>
      <c r="O23" s="17">
        <v>112967.52</v>
      </c>
      <c r="P23" s="17">
        <v>334225.34000000003</v>
      </c>
      <c r="Q23" s="17">
        <v>38631.980000000003</v>
      </c>
    </row>
    <row r="24" spans="1:17" ht="15" customHeight="1" x14ac:dyDescent="0.35">
      <c r="A24" s="16">
        <v>44071</v>
      </c>
      <c r="B24" s="17">
        <v>10216158.03843</v>
      </c>
      <c r="C24" s="17">
        <v>65941.47</v>
      </c>
      <c r="D24" s="17">
        <v>10150216.568430001</v>
      </c>
      <c r="E24" s="17">
        <v>1202213.57</v>
      </c>
      <c r="F24" s="17">
        <v>2825014.64</v>
      </c>
      <c r="G24" s="17">
        <v>391452.37</v>
      </c>
      <c r="H24" s="17">
        <v>110041.49</v>
      </c>
      <c r="I24" s="17">
        <v>2323520.7799999998</v>
      </c>
      <c r="J24" s="17">
        <v>2642567.86</v>
      </c>
      <c r="K24" s="17">
        <v>585069.43999999994</v>
      </c>
      <c r="L24" s="17">
        <v>872859.58</v>
      </c>
      <c r="M24" s="17">
        <v>2706439.9</v>
      </c>
      <c r="N24" s="17">
        <v>1373864.26</v>
      </c>
      <c r="O24" s="17">
        <v>116875.93</v>
      </c>
      <c r="P24" s="17">
        <v>335125.18</v>
      </c>
      <c r="Q24" s="17">
        <v>41812.14</v>
      </c>
    </row>
    <row r="25" spans="1:17" ht="15" customHeight="1" x14ac:dyDescent="0.35">
      <c r="A25" s="16">
        <v>44099</v>
      </c>
      <c r="B25" s="17">
        <v>10271581.007929999</v>
      </c>
      <c r="C25" s="17">
        <v>66426.850000000006</v>
      </c>
      <c r="D25" s="17">
        <v>10205154.15793</v>
      </c>
      <c r="E25" s="17">
        <v>1245397.83</v>
      </c>
      <c r="F25" s="17">
        <v>2831679.89</v>
      </c>
      <c r="G25" s="17">
        <v>398630.62</v>
      </c>
      <c r="H25" s="17">
        <v>124206.77</v>
      </c>
      <c r="I25" s="17">
        <v>2308842.5</v>
      </c>
      <c r="J25" s="17">
        <v>2653792.91</v>
      </c>
      <c r="K25" s="17">
        <v>583252.93999999994</v>
      </c>
      <c r="L25" s="17">
        <v>893375.68</v>
      </c>
      <c r="M25" s="17">
        <v>2735273.4</v>
      </c>
      <c r="N25" s="17">
        <v>1386716.31</v>
      </c>
      <c r="O25" s="17">
        <v>118161.34</v>
      </c>
      <c r="P25" s="17">
        <v>336497.11</v>
      </c>
      <c r="Q25" s="17">
        <v>46700.66</v>
      </c>
    </row>
    <row r="26" spans="1:17" ht="15" customHeight="1" x14ac:dyDescent="0.35">
      <c r="A26" s="16">
        <v>44127</v>
      </c>
      <c r="B26" s="17">
        <v>10338867.87781</v>
      </c>
      <c r="C26" s="17">
        <v>66659.009999999995</v>
      </c>
      <c r="D26" s="17">
        <v>10272208.86781</v>
      </c>
      <c r="E26" s="17">
        <v>1263805.1599999999</v>
      </c>
      <c r="F26" s="17">
        <v>2803794.83</v>
      </c>
      <c r="G26" s="17">
        <v>399732.32</v>
      </c>
      <c r="H26" s="17">
        <v>129018.82</v>
      </c>
      <c r="I26" s="17">
        <v>2275043.69</v>
      </c>
      <c r="J26" s="17">
        <v>2639010.63</v>
      </c>
      <c r="K26" s="17">
        <v>593212.85</v>
      </c>
      <c r="L26" s="17">
        <v>868992.24</v>
      </c>
      <c r="M26" s="17">
        <v>2785396.81</v>
      </c>
      <c r="N26" s="17">
        <v>1399589</v>
      </c>
      <c r="O26" s="17">
        <v>123174.46</v>
      </c>
      <c r="P26" s="17">
        <v>343228.41</v>
      </c>
      <c r="Q26" s="17">
        <v>52865.94</v>
      </c>
    </row>
    <row r="27" spans="1:17" ht="15" customHeight="1" x14ac:dyDescent="0.35">
      <c r="A27" s="16">
        <v>44155</v>
      </c>
      <c r="B27" s="17">
        <v>10434880.34296</v>
      </c>
      <c r="C27" s="17">
        <v>88956.29</v>
      </c>
      <c r="D27" s="17">
        <v>10345924.052959999</v>
      </c>
      <c r="E27" s="17">
        <v>1263992.74</v>
      </c>
      <c r="F27" s="17">
        <v>2817624.48</v>
      </c>
      <c r="G27" s="17">
        <v>403260.29</v>
      </c>
      <c r="H27" s="17">
        <v>130235.28</v>
      </c>
      <c r="I27" s="17">
        <v>2284128.91</v>
      </c>
      <c r="J27" s="17">
        <v>2647805.85</v>
      </c>
      <c r="K27" s="17">
        <v>574043.76</v>
      </c>
      <c r="L27" s="17">
        <v>863632.09</v>
      </c>
      <c r="M27" s="17">
        <v>2819694.01</v>
      </c>
      <c r="N27" s="17">
        <v>1411947.07</v>
      </c>
      <c r="O27" s="17">
        <v>127682.73</v>
      </c>
      <c r="P27" s="17">
        <v>350289.34</v>
      </c>
      <c r="Q27" s="17">
        <v>57453.23</v>
      </c>
    </row>
    <row r="28" spans="1:17" ht="15" customHeight="1" x14ac:dyDescent="0.35">
      <c r="A28" s="16">
        <v>44183</v>
      </c>
      <c r="B28" s="17">
        <v>10702596.470690001</v>
      </c>
      <c r="C28" s="17">
        <v>92544</v>
      </c>
      <c r="D28" s="17">
        <v>10610052.470690001</v>
      </c>
      <c r="E28" s="17">
        <v>1280650.81</v>
      </c>
      <c r="F28" s="17">
        <v>2822924.36</v>
      </c>
      <c r="G28" s="17">
        <v>409260.75</v>
      </c>
      <c r="H28" s="17">
        <v>129661.83</v>
      </c>
      <c r="I28" s="17">
        <v>2284001.7799999998</v>
      </c>
      <c r="J28" s="17">
        <v>2659819.98</v>
      </c>
      <c r="K28" s="17">
        <v>588756.07999999996</v>
      </c>
      <c r="L28" s="17">
        <v>880376.48</v>
      </c>
      <c r="M28" s="17">
        <v>2848752.08</v>
      </c>
      <c r="N28" s="17">
        <v>1426529.22</v>
      </c>
      <c r="O28" s="17">
        <v>123747.93</v>
      </c>
      <c r="P28" s="17">
        <v>353785.98</v>
      </c>
      <c r="Q28" s="17">
        <v>62087.96</v>
      </c>
    </row>
    <row r="29" spans="1:17" ht="15" customHeight="1" x14ac:dyDescent="0.35">
      <c r="A29" s="16">
        <v>44225</v>
      </c>
      <c r="B29" s="17">
        <v>10703751.83006</v>
      </c>
      <c r="C29" s="17">
        <v>87109</v>
      </c>
      <c r="D29" s="17">
        <v>10616642.83006</v>
      </c>
      <c r="E29" s="17">
        <v>1312049.26</v>
      </c>
      <c r="F29" s="17">
        <v>2945303.78</v>
      </c>
      <c r="G29" s="17">
        <v>427692.14</v>
      </c>
      <c r="H29" s="17">
        <v>143415.4</v>
      </c>
      <c r="I29" s="17">
        <v>2374196.2400000002</v>
      </c>
      <c r="J29" s="17">
        <v>2779619.82</v>
      </c>
      <c r="K29" s="17">
        <v>620495.69999999995</v>
      </c>
      <c r="L29" s="17">
        <v>906094.54</v>
      </c>
      <c r="M29" s="17">
        <v>2948660.06</v>
      </c>
      <c r="N29" s="17">
        <v>1467467.01</v>
      </c>
      <c r="O29" s="17">
        <v>136046.06</v>
      </c>
      <c r="P29" s="17">
        <v>362419.16</v>
      </c>
      <c r="Q29" s="17">
        <v>68164.36</v>
      </c>
    </row>
    <row r="30" spans="1:17" ht="15" customHeight="1" x14ac:dyDescent="0.35">
      <c r="A30" s="16">
        <v>44253</v>
      </c>
      <c r="B30" s="17">
        <v>10774742.46194</v>
      </c>
      <c r="C30" s="17">
        <v>75205.98</v>
      </c>
      <c r="D30" s="17">
        <v>10699536.481939999</v>
      </c>
      <c r="E30" s="17">
        <v>1321554.329862</v>
      </c>
      <c r="F30" s="17">
        <v>2975110.6986560002</v>
      </c>
      <c r="G30" s="17">
        <v>438368.764486</v>
      </c>
      <c r="H30" s="17">
        <v>149296.235025</v>
      </c>
      <c r="I30" s="17">
        <v>2387445.6991460002</v>
      </c>
      <c r="J30" s="17">
        <v>2819223.7348469999</v>
      </c>
      <c r="K30" s="17">
        <v>616561.61162400001</v>
      </c>
      <c r="L30" s="17">
        <v>887223.77514200006</v>
      </c>
      <c r="M30" s="17">
        <v>2999455.4462279999</v>
      </c>
      <c r="N30" s="17">
        <v>1487434.408182</v>
      </c>
      <c r="O30" s="17">
        <v>136506.752133</v>
      </c>
      <c r="P30" s="17">
        <v>366264.15756199998</v>
      </c>
      <c r="Q30" s="17">
        <v>71608.375994999995</v>
      </c>
    </row>
    <row r="31" spans="1:17" ht="15" customHeight="1" x14ac:dyDescent="0.35">
      <c r="A31" s="16">
        <v>44281</v>
      </c>
      <c r="B31" s="17">
        <v>10949509</v>
      </c>
      <c r="C31" s="17">
        <v>61254.38</v>
      </c>
      <c r="D31" s="17">
        <v>10888254.619999999</v>
      </c>
      <c r="E31" s="17">
        <v>1329618.477</v>
      </c>
      <c r="F31" s="17">
        <v>2940570.6919999998</v>
      </c>
      <c r="G31" s="17">
        <v>433192.2035</v>
      </c>
      <c r="H31" s="17">
        <v>145208.72210000001</v>
      </c>
      <c r="I31" s="17">
        <v>2362169.7659999998</v>
      </c>
      <c r="J31" s="17">
        <v>2764830.7940000002</v>
      </c>
      <c r="K31" s="17">
        <v>628249.32310000004</v>
      </c>
      <c r="L31" s="17">
        <v>948567.54749999999</v>
      </c>
      <c r="M31" s="17">
        <v>3009013.068</v>
      </c>
      <c r="N31" s="17">
        <v>1492302.4310000001</v>
      </c>
      <c r="O31" s="17">
        <v>131704.25200000001</v>
      </c>
      <c r="P31" s="17">
        <v>368412.45020000002</v>
      </c>
      <c r="Q31" s="17">
        <v>75048.585290000003</v>
      </c>
    </row>
    <row r="32" spans="1:17" ht="15" customHeight="1" x14ac:dyDescent="0.35">
      <c r="A32" s="16">
        <v>44309</v>
      </c>
      <c r="B32" s="17">
        <v>10860485.37617</v>
      </c>
      <c r="C32" s="17">
        <v>58334.89</v>
      </c>
      <c r="D32" s="17">
        <v>10802150.486169999</v>
      </c>
      <c r="E32" s="17">
        <v>1364750.5088869999</v>
      </c>
      <c r="F32" s="17">
        <v>2962892.4891969999</v>
      </c>
      <c r="G32" s="17">
        <v>442284.17527499999</v>
      </c>
      <c r="H32" s="17">
        <v>160400.757457</v>
      </c>
      <c r="I32" s="17">
        <v>2360207.5564649999</v>
      </c>
      <c r="J32" s="17">
        <v>2767556.877014</v>
      </c>
      <c r="K32" s="17">
        <v>642050.22301800002</v>
      </c>
      <c r="L32" s="17">
        <v>919601.39037200005</v>
      </c>
      <c r="M32" s="17">
        <v>3076392.8355169999</v>
      </c>
      <c r="N32" s="17">
        <v>1545273.364048</v>
      </c>
      <c r="O32" s="17">
        <v>133277.29169700001</v>
      </c>
      <c r="P32" s="17">
        <v>374724.906517</v>
      </c>
      <c r="Q32" s="17">
        <v>77784.142009999996</v>
      </c>
    </row>
    <row r="33" spans="1:17" ht="15" customHeight="1" x14ac:dyDescent="0.35">
      <c r="A33" s="16">
        <v>44337</v>
      </c>
      <c r="B33" s="17">
        <v>10831221.47883</v>
      </c>
      <c r="C33" s="17">
        <v>90662.91</v>
      </c>
      <c r="D33" s="17">
        <v>10740558.56883</v>
      </c>
      <c r="E33" s="17">
        <v>1354841.0509180001</v>
      </c>
      <c r="F33" s="17">
        <v>2957537.0400069999</v>
      </c>
      <c r="G33" s="17">
        <v>430289.07278400002</v>
      </c>
      <c r="H33" s="17">
        <v>172643.12956299999</v>
      </c>
      <c r="I33" s="17">
        <v>2354604.837661</v>
      </c>
      <c r="J33" s="17">
        <v>2748972.4900509999</v>
      </c>
      <c r="K33" s="17">
        <v>648360.22635300003</v>
      </c>
      <c r="L33" s="17">
        <v>901963.62187000003</v>
      </c>
      <c r="M33" s="17">
        <v>3047424.7672250001</v>
      </c>
      <c r="N33" s="17">
        <v>1542456.012442</v>
      </c>
      <c r="O33" s="17">
        <v>123553.971542</v>
      </c>
      <c r="P33" s="17">
        <v>368741.72558199998</v>
      </c>
      <c r="Q33" s="17">
        <v>77190.600107999999</v>
      </c>
    </row>
    <row r="34" spans="1:17" ht="15" customHeight="1" x14ac:dyDescent="0.35">
      <c r="A34" s="16">
        <v>44365</v>
      </c>
      <c r="B34" s="17">
        <v>10928555</v>
      </c>
      <c r="C34" s="17">
        <v>83178</v>
      </c>
      <c r="D34" s="17">
        <v>10845377</v>
      </c>
      <c r="E34" s="17">
        <v>1358177.0573799999</v>
      </c>
      <c r="F34" s="17">
        <v>2941899.9674209999</v>
      </c>
      <c r="G34" s="17">
        <v>450802.88587400003</v>
      </c>
      <c r="H34" s="17">
        <v>169905.08180700001</v>
      </c>
      <c r="I34" s="17">
        <v>2321191.9997399999</v>
      </c>
      <c r="J34" s="17">
        <v>2773216.9854049999</v>
      </c>
      <c r="K34" s="17">
        <v>647113.95171000005</v>
      </c>
      <c r="L34" s="17">
        <v>902843.90476399998</v>
      </c>
      <c r="M34" s="17">
        <v>3048391.0917250002</v>
      </c>
      <c r="N34" s="17">
        <v>1552383.0604719999</v>
      </c>
      <c r="O34" s="17">
        <v>122211.251544</v>
      </c>
      <c r="P34" s="17">
        <v>365462.68483500002</v>
      </c>
      <c r="Q34" s="17">
        <v>75647.929311</v>
      </c>
    </row>
    <row r="35" spans="1:17" ht="15" customHeight="1" x14ac:dyDescent="0.35">
      <c r="A35" s="16">
        <v>44407</v>
      </c>
      <c r="B35" s="17">
        <v>10910566.779610001</v>
      </c>
      <c r="C35" s="17">
        <v>77477.649999999994</v>
      </c>
      <c r="D35" s="17">
        <v>10833089.12961</v>
      </c>
      <c r="E35" s="17">
        <v>1379122.7758190001</v>
      </c>
      <c r="F35" s="17">
        <v>2934180.3162159999</v>
      </c>
      <c r="G35" s="17">
        <v>457528.20010900003</v>
      </c>
      <c r="H35" s="17">
        <v>181157.796757</v>
      </c>
      <c r="I35" s="17">
        <v>2295494.31935</v>
      </c>
      <c r="J35" s="17">
        <v>2770324.280396</v>
      </c>
      <c r="K35" s="17">
        <v>648919.03441900003</v>
      </c>
      <c r="L35" s="17">
        <v>903954.93880100001</v>
      </c>
      <c r="M35" s="17">
        <v>3095232.4244459998</v>
      </c>
      <c r="N35" s="17">
        <v>1564149.7270800001</v>
      </c>
      <c r="O35" s="17">
        <v>132366.801385</v>
      </c>
      <c r="P35" s="17">
        <v>370247.45797500003</v>
      </c>
      <c r="Q35" s="17">
        <v>74359.112506000005</v>
      </c>
    </row>
    <row r="36" spans="1:17" ht="15" customHeight="1" x14ac:dyDescent="0.35">
      <c r="A36" s="16">
        <v>44435</v>
      </c>
      <c r="B36" s="17">
        <v>10897601.02207</v>
      </c>
      <c r="C36" s="17">
        <v>68800.570000000007</v>
      </c>
      <c r="D36" s="17">
        <v>10828800.45207</v>
      </c>
      <c r="E36" s="17">
        <v>1386370.4742109999</v>
      </c>
      <c r="F36" s="17">
        <v>2922212.7941319998</v>
      </c>
      <c r="G36" s="17">
        <v>461994.48297299998</v>
      </c>
      <c r="H36" s="17">
        <v>183693.04632200001</v>
      </c>
      <c r="I36" s="17">
        <v>2276525.2648370001</v>
      </c>
      <c r="J36" s="17">
        <v>2746800.390193</v>
      </c>
      <c r="K36" s="17">
        <v>645102.83459500002</v>
      </c>
      <c r="L36" s="17">
        <v>886891.60522300005</v>
      </c>
      <c r="M36" s="17">
        <v>3124343.5524030002</v>
      </c>
      <c r="N36" s="17">
        <v>1576888.88194</v>
      </c>
      <c r="O36" s="17">
        <v>137275.50122400001</v>
      </c>
      <c r="P36" s="17">
        <v>374202.849926</v>
      </c>
      <c r="Q36" s="17">
        <v>73158.976095000005</v>
      </c>
    </row>
    <row r="37" spans="1:17" ht="15" customHeight="1" x14ac:dyDescent="0.35">
      <c r="A37" s="16">
        <v>44463</v>
      </c>
      <c r="B37" s="17">
        <v>10956816.87652</v>
      </c>
      <c r="C37" s="17">
        <v>62341.83</v>
      </c>
      <c r="D37" s="17">
        <v>10894475.04652</v>
      </c>
      <c r="E37" s="17">
        <v>1408329.0540499999</v>
      </c>
      <c r="F37" s="17">
        <v>2939098.812651</v>
      </c>
      <c r="G37" s="17">
        <v>478791.39365500002</v>
      </c>
      <c r="H37" s="17">
        <v>188654.625256</v>
      </c>
      <c r="I37" s="17">
        <v>2271652.7937400001</v>
      </c>
      <c r="J37" s="17">
        <v>2735004.2376390002</v>
      </c>
      <c r="K37" s="17">
        <v>635347.34413400001</v>
      </c>
      <c r="L37" s="17">
        <v>881104.62554299994</v>
      </c>
      <c r="M37" s="17">
        <v>3167881.3033710001</v>
      </c>
      <c r="N37" s="17">
        <v>1600712.412333</v>
      </c>
      <c r="O37" s="17">
        <v>137276.73106200001</v>
      </c>
      <c r="P37" s="17">
        <v>376980.36567799997</v>
      </c>
      <c r="Q37" s="17">
        <v>73100.762789999993</v>
      </c>
    </row>
    <row r="38" spans="1:17" ht="15" customHeight="1" x14ac:dyDescent="0.35">
      <c r="A38" s="16">
        <v>44491</v>
      </c>
      <c r="B38" s="17">
        <v>11044619.142589999</v>
      </c>
      <c r="C38" s="17">
        <v>63697.47</v>
      </c>
      <c r="D38" s="17">
        <v>10980921.672590001</v>
      </c>
      <c r="E38" s="17">
        <v>1429971.569413</v>
      </c>
      <c r="F38" s="17">
        <v>2954305.8964570002</v>
      </c>
      <c r="G38" s="17">
        <v>487411.60753199999</v>
      </c>
      <c r="H38" s="17">
        <v>192556.922353</v>
      </c>
      <c r="I38" s="17">
        <v>2274337.3665720001</v>
      </c>
      <c r="J38" s="17">
        <v>2766127.8632180002</v>
      </c>
      <c r="K38" s="17">
        <v>660845.58052700001</v>
      </c>
      <c r="L38" s="17">
        <v>900098.812362</v>
      </c>
      <c r="M38" s="17">
        <v>3210245.6088970001</v>
      </c>
      <c r="N38" s="17">
        <v>1616878.815803</v>
      </c>
      <c r="O38" s="17">
        <v>145373.70089800001</v>
      </c>
      <c r="P38" s="17">
        <v>380059.03857099998</v>
      </c>
      <c r="Q38" s="17">
        <v>73361.703611999998</v>
      </c>
    </row>
    <row r="39" spans="1:17" ht="15" customHeight="1" x14ac:dyDescent="0.35">
      <c r="A39" s="16">
        <v>44519</v>
      </c>
      <c r="B39" s="17">
        <v>11162193.47978</v>
      </c>
      <c r="C39" s="17">
        <v>82415.320000000007</v>
      </c>
      <c r="D39" s="17">
        <v>11079778.159779999</v>
      </c>
      <c r="E39" s="17">
        <v>1433044.945266</v>
      </c>
      <c r="F39" s="17">
        <v>2977969.8669360001</v>
      </c>
      <c r="G39" s="17">
        <v>493382.81918699999</v>
      </c>
      <c r="H39" s="17">
        <v>197117.69408099999</v>
      </c>
      <c r="I39" s="17">
        <v>2287469.3536680001</v>
      </c>
      <c r="J39" s="17">
        <v>2784866.718235</v>
      </c>
      <c r="K39" s="17">
        <v>655857.43447199999</v>
      </c>
      <c r="L39" s="17">
        <v>928482.56123700005</v>
      </c>
      <c r="M39" s="17">
        <v>3250799.4973550001</v>
      </c>
      <c r="N39" s="17">
        <v>1635989.7901000001</v>
      </c>
      <c r="O39" s="17">
        <v>144945.080732</v>
      </c>
      <c r="P39" s="17">
        <v>384422.45096300001</v>
      </c>
      <c r="Q39" s="17">
        <v>72087.006351000004</v>
      </c>
    </row>
    <row r="40" spans="1:17" ht="15" customHeight="1" x14ac:dyDescent="0.35">
      <c r="A40" s="16">
        <v>44561</v>
      </c>
      <c r="B40" s="17">
        <v>11582087.1494</v>
      </c>
      <c r="C40" s="17">
        <v>88679.84</v>
      </c>
      <c r="D40" s="17">
        <v>11493407.3094</v>
      </c>
      <c r="E40" s="17">
        <v>1495653.9706669999</v>
      </c>
      <c r="F40" s="17">
        <v>3087299.702852</v>
      </c>
      <c r="G40" s="17">
        <v>537956.73509900004</v>
      </c>
      <c r="H40" s="17">
        <v>232403.25743</v>
      </c>
      <c r="I40" s="17">
        <v>2316939.7103229999</v>
      </c>
      <c r="J40" s="17">
        <v>2991384.268555</v>
      </c>
      <c r="K40" s="17">
        <v>700034.96638999996</v>
      </c>
      <c r="L40" s="17">
        <v>985651.15012899996</v>
      </c>
      <c r="M40" s="17">
        <v>3352795.4126860001</v>
      </c>
      <c r="N40" s="17">
        <v>1685085.5766499999</v>
      </c>
      <c r="O40" s="17">
        <v>148129.61056299999</v>
      </c>
      <c r="P40" s="17">
        <v>390806.14376599999</v>
      </c>
      <c r="Q40" s="17">
        <v>76669.250532000005</v>
      </c>
    </row>
    <row r="41" spans="1:17" ht="15" customHeight="1" x14ac:dyDescent="0.35">
      <c r="A41" s="16">
        <v>44589</v>
      </c>
      <c r="B41" s="17">
        <v>11468976.862260001</v>
      </c>
      <c r="C41" s="17">
        <v>82389.88</v>
      </c>
      <c r="D41" s="17">
        <v>11386586.98226</v>
      </c>
      <c r="E41" s="17">
        <v>1464399.54406</v>
      </c>
      <c r="F41" s="17">
        <v>3049445.9183939998</v>
      </c>
      <c r="G41" s="17">
        <v>531361.14055899996</v>
      </c>
      <c r="H41" s="17">
        <v>225406.87151200001</v>
      </c>
      <c r="I41" s="17">
        <v>2292677.9063229999</v>
      </c>
      <c r="J41" s="17">
        <v>2962173.5309669999</v>
      </c>
      <c r="K41" s="17">
        <v>706474.24889799999</v>
      </c>
      <c r="L41" s="17">
        <v>994283.39168700005</v>
      </c>
      <c r="M41" s="17">
        <v>3365386.2059209999</v>
      </c>
      <c r="N41" s="17">
        <v>1687058.3403970001</v>
      </c>
      <c r="O41" s="17">
        <v>150015.790393</v>
      </c>
      <c r="P41" s="17">
        <v>398000.634227</v>
      </c>
      <c r="Q41" s="17">
        <v>76009.633812999993</v>
      </c>
    </row>
    <row r="42" spans="1:17" ht="15" customHeight="1" x14ac:dyDescent="0.35">
      <c r="A42" s="16">
        <v>44617</v>
      </c>
      <c r="B42" s="17">
        <v>11643716.860269999</v>
      </c>
      <c r="C42" s="17">
        <v>68224.2</v>
      </c>
      <c r="D42" s="17">
        <v>11575492.66027</v>
      </c>
      <c r="E42" s="17">
        <v>1473690.2086459999</v>
      </c>
      <c r="F42" s="17">
        <v>3102630.1449660002</v>
      </c>
      <c r="G42" s="17">
        <v>548491.71337300004</v>
      </c>
      <c r="H42" s="17">
        <v>233929.29778299999</v>
      </c>
      <c r="I42" s="17">
        <v>2320209.13381</v>
      </c>
      <c r="J42" s="17">
        <v>3021320.836743</v>
      </c>
      <c r="K42" s="17">
        <v>724801.93582000001</v>
      </c>
      <c r="L42" s="17">
        <v>1000861.7406200001</v>
      </c>
      <c r="M42" s="17">
        <v>3414020.5109560001</v>
      </c>
      <c r="N42" s="17">
        <v>1715070.966644</v>
      </c>
      <c r="O42" s="17">
        <v>150711.320221</v>
      </c>
      <c r="P42" s="17">
        <v>403971.29802400002</v>
      </c>
      <c r="Q42" s="17">
        <v>74022.087283999994</v>
      </c>
    </row>
    <row r="43" spans="1:17" ht="15" customHeight="1" x14ac:dyDescent="0.35">
      <c r="A43" s="16">
        <v>44645</v>
      </c>
      <c r="B43" s="17">
        <v>11891314.26997</v>
      </c>
      <c r="C43" s="17">
        <v>55010.54</v>
      </c>
      <c r="D43" s="17">
        <v>11836303.729970001</v>
      </c>
      <c r="E43" s="17">
        <v>1496483.979915</v>
      </c>
      <c r="F43" s="17">
        <v>3181100.1273139999</v>
      </c>
      <c r="G43" s="17">
        <v>560178.41842400003</v>
      </c>
      <c r="H43" s="17">
        <v>238943.98399000001</v>
      </c>
      <c r="I43" s="17">
        <v>2381977.7248999998</v>
      </c>
      <c r="J43" s="17">
        <v>3112540.9340249998</v>
      </c>
      <c r="K43" s="17">
        <v>736454.18835399998</v>
      </c>
      <c r="L43" s="17">
        <v>1033470.142091</v>
      </c>
      <c r="M43" s="17">
        <v>3466074.5979880001</v>
      </c>
      <c r="N43" s="17">
        <v>1738472.953673</v>
      </c>
      <c r="O43" s="17">
        <v>154536.71</v>
      </c>
      <c r="P43" s="17">
        <v>404755.89337100001</v>
      </c>
      <c r="Q43" s="17">
        <v>74737.510460000005</v>
      </c>
    </row>
    <row r="44" spans="1:17" ht="15" customHeight="1" x14ac:dyDescent="0.35">
      <c r="A44" s="16">
        <v>44673</v>
      </c>
      <c r="B44" s="17">
        <v>11956336.16382</v>
      </c>
      <c r="C44" s="17">
        <v>42552.09</v>
      </c>
      <c r="D44" s="17">
        <v>11913784.073820001</v>
      </c>
      <c r="E44" s="17">
        <v>1512113.1620130001</v>
      </c>
      <c r="F44" s="17">
        <v>3174821.1419560001</v>
      </c>
      <c r="G44" s="17">
        <v>577249.82123999996</v>
      </c>
      <c r="H44" s="17">
        <v>245048.31430599999</v>
      </c>
      <c r="I44" s="17">
        <v>2352523.0064099999</v>
      </c>
      <c r="J44" s="17">
        <v>3112144.4402379999</v>
      </c>
      <c r="K44" s="17">
        <v>748526.00165200001</v>
      </c>
      <c r="L44" s="17">
        <v>1049894.01911</v>
      </c>
      <c r="M44" s="17">
        <v>3533730.7945400001</v>
      </c>
      <c r="N44" s="17">
        <v>1760905.1460490001</v>
      </c>
      <c r="O44" s="17">
        <v>160810.62</v>
      </c>
      <c r="P44" s="17">
        <v>415393.83154500002</v>
      </c>
      <c r="Q44" s="17">
        <v>75168.646500999996</v>
      </c>
    </row>
    <row r="45" spans="1:17" ht="15" customHeight="1" x14ac:dyDescent="0.35">
      <c r="A45" s="16">
        <v>44701</v>
      </c>
      <c r="B45" s="17">
        <v>12143120.669749999</v>
      </c>
      <c r="C45" s="17">
        <v>48627.97</v>
      </c>
      <c r="D45" s="17">
        <v>12094492.699750001</v>
      </c>
      <c r="E45" s="17">
        <v>1516485.1965630001</v>
      </c>
      <c r="F45" s="17">
        <v>3192957.815227</v>
      </c>
      <c r="G45" s="17">
        <v>579920.99980999995</v>
      </c>
      <c r="H45" s="17">
        <v>244542.31956199999</v>
      </c>
      <c r="I45" s="17">
        <v>2368494.4958549999</v>
      </c>
      <c r="J45" s="17">
        <v>3133147.1277120002</v>
      </c>
      <c r="K45" s="17">
        <v>756290.01642100001</v>
      </c>
      <c r="L45" s="17">
        <v>1061611.0706480001</v>
      </c>
      <c r="M45" s="17">
        <v>3558319.2948449999</v>
      </c>
      <c r="N45" s="17">
        <v>1765894.8527869999</v>
      </c>
      <c r="O45" s="17">
        <v>161511.79999999999</v>
      </c>
      <c r="P45" s="17">
        <v>420301.16949100001</v>
      </c>
      <c r="Q45" s="17">
        <v>78195.143488000002</v>
      </c>
    </row>
    <row r="46" spans="1:17" ht="15" customHeight="1" x14ac:dyDescent="0.35">
      <c r="A46" s="16">
        <v>44729</v>
      </c>
      <c r="B46" s="17">
        <v>12382791.6209</v>
      </c>
      <c r="C46" s="17">
        <v>37416.57</v>
      </c>
      <c r="D46" s="17">
        <v>12345375.050899999</v>
      </c>
      <c r="E46" s="17">
        <v>1536406.2258669999</v>
      </c>
      <c r="F46" s="17">
        <v>3209099.5555050001</v>
      </c>
      <c r="G46" s="17">
        <v>584128.88417900004</v>
      </c>
      <c r="H46" s="17">
        <v>246317.60660100001</v>
      </c>
      <c r="I46" s="17">
        <v>2378653.0647249999</v>
      </c>
      <c r="J46" s="17">
        <v>3163810.0164160002</v>
      </c>
      <c r="K46" s="17">
        <v>779071.85801099997</v>
      </c>
      <c r="L46" s="17">
        <v>1064492.9572020001</v>
      </c>
      <c r="M46" s="17">
        <v>3600354.1102209999</v>
      </c>
      <c r="N46" s="17">
        <v>1788100.3096700001</v>
      </c>
      <c r="O46" s="17">
        <v>160908.53</v>
      </c>
      <c r="P46" s="17">
        <v>427380.98726800003</v>
      </c>
      <c r="Q46" s="17">
        <v>79517.474438999998</v>
      </c>
    </row>
    <row r="47" spans="1:17" ht="15" customHeight="1" x14ac:dyDescent="0.35">
      <c r="A47" s="16">
        <v>44771</v>
      </c>
      <c r="B47" s="17">
        <v>12369350.004070001</v>
      </c>
      <c r="C47" s="17">
        <v>32344.5</v>
      </c>
      <c r="D47" s="17">
        <v>12337005.504070001</v>
      </c>
      <c r="E47" s="17">
        <v>1564614.5524309999</v>
      </c>
      <c r="F47" s="17">
        <v>3214589.8604700002</v>
      </c>
      <c r="G47" s="17">
        <v>586443.95523700002</v>
      </c>
      <c r="H47" s="17">
        <v>246534.30274899999</v>
      </c>
      <c r="I47" s="17">
        <v>2381611.6024830001</v>
      </c>
      <c r="J47" s="17">
        <v>3272902.3705520001</v>
      </c>
      <c r="K47" s="17">
        <v>765157.79561599996</v>
      </c>
      <c r="L47" s="17">
        <v>1130651.5373170001</v>
      </c>
      <c r="M47" s="17">
        <v>3685523.721442</v>
      </c>
      <c r="N47" s="17">
        <v>1818409.843562</v>
      </c>
      <c r="O47" s="17">
        <v>170706.06</v>
      </c>
      <c r="P47" s="17">
        <v>439373.32640800002</v>
      </c>
      <c r="Q47" s="17">
        <v>81848.661586000002</v>
      </c>
    </row>
    <row r="48" spans="1:17" ht="15" customHeight="1" x14ac:dyDescent="0.35">
      <c r="A48" s="16">
        <v>44799</v>
      </c>
      <c r="B48" s="17">
        <v>12458657.89222</v>
      </c>
      <c r="C48" s="17">
        <v>27760.98</v>
      </c>
      <c r="D48" s="17">
        <v>12430896.912219999</v>
      </c>
      <c r="E48" s="17">
        <v>1575605.2479630001</v>
      </c>
      <c r="F48" s="17">
        <v>3232613.7577439998</v>
      </c>
      <c r="G48" s="17">
        <v>591913.26282099995</v>
      </c>
      <c r="H48" s="17">
        <v>248133.67490000001</v>
      </c>
      <c r="I48" s="17">
        <v>2392566.8200229998</v>
      </c>
      <c r="J48" s="17">
        <v>3261564.5392260002</v>
      </c>
      <c r="K48" s="17">
        <v>775913.56931699999</v>
      </c>
      <c r="L48" s="17">
        <v>1121575.4838340001</v>
      </c>
      <c r="M48" s="17">
        <v>3740498.5679509998</v>
      </c>
      <c r="N48" s="17">
        <v>1835334.041915</v>
      </c>
      <c r="O48" s="17">
        <v>175578.44</v>
      </c>
      <c r="P48" s="17">
        <v>444945.49928799999</v>
      </c>
      <c r="Q48" s="17">
        <v>82739.779494000002</v>
      </c>
    </row>
    <row r="49" spans="1:17" ht="15" customHeight="1" x14ac:dyDescent="0.35">
      <c r="A49" s="16">
        <v>44827</v>
      </c>
      <c r="B49" s="17">
        <v>12629874.7859</v>
      </c>
      <c r="C49" s="17">
        <v>21788</v>
      </c>
      <c r="D49" s="17">
        <v>12608086.7859</v>
      </c>
      <c r="E49" s="17">
        <v>1596619.354297</v>
      </c>
      <c r="F49" s="17">
        <v>3276479.3356980002</v>
      </c>
      <c r="G49" s="17">
        <v>602436.11935399997</v>
      </c>
      <c r="H49" s="17">
        <v>253865.940363</v>
      </c>
      <c r="I49" s="17">
        <v>2420177.2759819999</v>
      </c>
      <c r="J49" s="17">
        <v>3322403.177017</v>
      </c>
      <c r="K49" s="17">
        <v>791447.91905000003</v>
      </c>
      <c r="L49" s="17">
        <v>1145819.4713320001</v>
      </c>
      <c r="M49" s="17">
        <v>3794791.100294</v>
      </c>
      <c r="N49" s="17">
        <v>1855855.3452069999</v>
      </c>
      <c r="O49" s="17">
        <v>175239.52</v>
      </c>
      <c r="P49" s="17">
        <v>449341.74839800003</v>
      </c>
      <c r="Q49" s="17">
        <v>85008.629121000005</v>
      </c>
    </row>
    <row r="50" spans="1:17" ht="15" customHeight="1" x14ac:dyDescent="0.35">
      <c r="A50" s="16">
        <v>44855</v>
      </c>
      <c r="B50" s="17">
        <v>12883403.90972</v>
      </c>
      <c r="C50" s="17">
        <v>25654.6</v>
      </c>
      <c r="D50" s="17">
        <v>12857749.30972</v>
      </c>
      <c r="E50" s="17">
        <v>1626830.949886</v>
      </c>
      <c r="F50" s="17">
        <v>3320589.4142979998</v>
      </c>
      <c r="G50" s="17">
        <v>584867.3175</v>
      </c>
      <c r="H50" s="17">
        <v>250520.34542299999</v>
      </c>
      <c r="I50" s="17">
        <v>2485201.751375</v>
      </c>
      <c r="J50" s="17">
        <v>3423427.9633050002</v>
      </c>
      <c r="K50" s="17">
        <v>795681.08749599999</v>
      </c>
      <c r="L50" s="17">
        <v>1220565.023184</v>
      </c>
      <c r="M50" s="17">
        <v>3861263.6468199999</v>
      </c>
      <c r="N50" s="17">
        <v>1876066.102924</v>
      </c>
      <c r="O50" s="17">
        <v>188032.94</v>
      </c>
      <c r="P50" s="17">
        <v>460947.10513500002</v>
      </c>
      <c r="Q50" s="17">
        <v>87275.556463999994</v>
      </c>
    </row>
    <row r="51" spans="1:17" ht="15" customHeight="1" x14ac:dyDescent="0.35">
      <c r="A51" s="16">
        <v>44883</v>
      </c>
      <c r="B51" s="17">
        <v>12947813.299459999</v>
      </c>
      <c r="C51" s="17">
        <v>52239.83</v>
      </c>
      <c r="D51" s="17">
        <v>12895573.469459999</v>
      </c>
      <c r="E51" s="17">
        <v>1632195.361479</v>
      </c>
      <c r="F51" s="17">
        <v>3328193.0028010001</v>
      </c>
      <c r="G51" s="17">
        <v>588505.44535399997</v>
      </c>
      <c r="H51" s="17">
        <v>253303.782328</v>
      </c>
      <c r="I51" s="17">
        <v>2486383.7751190001</v>
      </c>
      <c r="J51" s="17">
        <v>3417418.5114870002</v>
      </c>
      <c r="K51" s="17">
        <v>782988.33797200001</v>
      </c>
      <c r="L51" s="17">
        <v>1229246.6145880001</v>
      </c>
      <c r="M51" s="17">
        <v>3891366.497556</v>
      </c>
      <c r="N51" s="17">
        <v>1896122.977646</v>
      </c>
      <c r="O51" s="17">
        <v>182319.54</v>
      </c>
      <c r="P51" s="17">
        <v>467706.32081800001</v>
      </c>
      <c r="Q51" s="17">
        <v>85742.245087999996</v>
      </c>
    </row>
    <row r="52" spans="1:17" ht="15" customHeight="1" x14ac:dyDescent="0.35">
      <c r="A52" s="16">
        <v>44925</v>
      </c>
      <c r="B52" s="17">
        <v>13306853.04999</v>
      </c>
      <c r="C52" s="17">
        <v>53972.42</v>
      </c>
      <c r="D52" s="17">
        <v>13252880.62999</v>
      </c>
      <c r="E52" s="17">
        <v>1667712.6635340001</v>
      </c>
      <c r="F52" s="17">
        <v>3326820.4311970002</v>
      </c>
      <c r="G52" s="17">
        <v>611873.75084400002</v>
      </c>
      <c r="H52" s="17">
        <v>266982.14412000001</v>
      </c>
      <c r="I52" s="17">
        <v>2447964.536233</v>
      </c>
      <c r="J52" s="17">
        <v>3602865.3081899998</v>
      </c>
      <c r="K52" s="17">
        <v>821437.07388699998</v>
      </c>
      <c r="L52" s="17">
        <v>1321713.6989450001</v>
      </c>
      <c r="M52" s="17">
        <v>4028699.1503079999</v>
      </c>
      <c r="N52" s="17">
        <v>1950266.668821</v>
      </c>
      <c r="O52" s="17">
        <v>189912.22089</v>
      </c>
      <c r="P52" s="17">
        <v>483945.893797</v>
      </c>
      <c r="Q52" s="17">
        <v>86093.390710000007</v>
      </c>
    </row>
    <row r="53" spans="1:17" ht="15" customHeight="1" x14ac:dyDescent="0.35">
      <c r="A53" s="16">
        <v>44953</v>
      </c>
      <c r="B53" s="17">
        <v>13337536.22291</v>
      </c>
      <c r="C53" s="17">
        <v>50165.4</v>
      </c>
      <c r="D53" s="17">
        <v>13287370.82291</v>
      </c>
      <c r="E53" s="17">
        <v>1674443.7646949999</v>
      </c>
      <c r="F53" s="17">
        <v>3321663.1271529999</v>
      </c>
      <c r="G53" s="17">
        <v>612511.39303499996</v>
      </c>
      <c r="H53" s="17">
        <v>265430.87322399998</v>
      </c>
      <c r="I53" s="17">
        <v>2443720.8608940002</v>
      </c>
      <c r="J53" s="17">
        <v>3588748.8757409998</v>
      </c>
      <c r="K53" s="17">
        <v>830437.82344499999</v>
      </c>
      <c r="L53" s="17">
        <v>1300281.3105279999</v>
      </c>
      <c r="M53" s="17">
        <v>4054351.4689679998</v>
      </c>
      <c r="N53" s="17">
        <v>1941903.0399819999</v>
      </c>
      <c r="O53" s="17">
        <v>196838.70078899999</v>
      </c>
      <c r="P53" s="17">
        <v>495873.17444700003</v>
      </c>
      <c r="Q53" s="17">
        <v>86133.001741999993</v>
      </c>
    </row>
    <row r="54" spans="1:17" ht="15" customHeight="1" x14ac:dyDescent="0.35">
      <c r="A54" s="16">
        <v>44981</v>
      </c>
      <c r="B54" s="17">
        <v>13450268.705229999</v>
      </c>
      <c r="C54" s="17">
        <v>35276.43</v>
      </c>
      <c r="D54" s="17">
        <v>13414992.27523</v>
      </c>
      <c r="E54" s="17">
        <v>1693434.862192</v>
      </c>
      <c r="F54" s="17">
        <v>3321562.6644640001</v>
      </c>
      <c r="G54" s="17">
        <v>621257.26757699996</v>
      </c>
      <c r="H54" s="17">
        <v>264995.32803799998</v>
      </c>
      <c r="I54" s="17">
        <v>2435310.0688490001</v>
      </c>
      <c r="J54" s="17">
        <v>3634039.5164669999</v>
      </c>
      <c r="K54" s="17">
        <v>850233.34219999996</v>
      </c>
      <c r="L54" s="17">
        <v>1320444.700619</v>
      </c>
      <c r="M54" s="17">
        <v>4109179.056134</v>
      </c>
      <c r="N54" s="17">
        <v>1964769.2315160001</v>
      </c>
      <c r="O54" s="17">
        <v>197069.00068699999</v>
      </c>
      <c r="P54" s="17">
        <v>495148.03058899997</v>
      </c>
      <c r="Q54" s="17">
        <v>88556.014737999998</v>
      </c>
    </row>
    <row r="55" spans="1:17" ht="15" customHeight="1" x14ac:dyDescent="0.35">
      <c r="A55" s="16">
        <v>45009</v>
      </c>
      <c r="B55" s="17">
        <v>13675235.32622</v>
      </c>
      <c r="C55" s="17">
        <v>19905.64</v>
      </c>
      <c r="D55" s="17">
        <v>13655329.68622</v>
      </c>
      <c r="E55" s="17">
        <v>1726409.9949680001</v>
      </c>
      <c r="F55" s="17">
        <v>3366405.8679780001</v>
      </c>
      <c r="G55" s="17">
        <v>633288.82819699997</v>
      </c>
      <c r="H55" s="17">
        <v>268286.25270299998</v>
      </c>
      <c r="I55" s="17">
        <v>2464830.7870789999</v>
      </c>
      <c r="J55" s="17">
        <v>3718804.7853370002</v>
      </c>
      <c r="K55" s="17">
        <v>872339.72252499999</v>
      </c>
      <c r="L55" s="17">
        <v>1342539.490706</v>
      </c>
      <c r="M55" s="17">
        <v>4182767.4119230001</v>
      </c>
      <c r="N55" s="17">
        <v>1991163.512502</v>
      </c>
      <c r="O55" s="17">
        <v>204708.43058399999</v>
      </c>
      <c r="P55" s="17">
        <v>487596.89779999998</v>
      </c>
      <c r="Q55" s="17">
        <v>89370.308816000004</v>
      </c>
    </row>
    <row r="56" spans="1:17" ht="15" customHeight="1" x14ac:dyDescent="0.35">
      <c r="A56" s="16">
        <v>45037</v>
      </c>
      <c r="B56" s="17">
        <v>13859446.828129999</v>
      </c>
      <c r="C56" s="17">
        <v>21292.13</v>
      </c>
      <c r="D56" s="17">
        <v>13838154.69813</v>
      </c>
      <c r="E56" s="17">
        <v>1765617.4002439999</v>
      </c>
      <c r="F56" s="17">
        <v>3404575.319621</v>
      </c>
      <c r="G56" s="17">
        <v>634010.52879100002</v>
      </c>
      <c r="H56" s="17">
        <v>273172.71879499999</v>
      </c>
      <c r="I56" s="17">
        <v>2497392.0720350002</v>
      </c>
      <c r="J56" s="17">
        <v>3774659.3514339998</v>
      </c>
      <c r="K56" s="17">
        <v>889104.32597200002</v>
      </c>
      <c r="L56" s="17">
        <v>1356674.302966</v>
      </c>
      <c r="M56" s="17">
        <v>4219767.9532190003</v>
      </c>
      <c r="N56" s="17">
        <v>2004953.39524</v>
      </c>
      <c r="O56" s="17">
        <v>211151.01048</v>
      </c>
      <c r="P56" s="17">
        <v>508192.82226300001</v>
      </c>
      <c r="Q56" s="17">
        <v>90649.222565999997</v>
      </c>
    </row>
    <row r="57" spans="1:17" ht="15" customHeight="1" x14ac:dyDescent="0.35">
      <c r="A57" s="16">
        <v>45065</v>
      </c>
      <c r="B57" s="17">
        <v>14009694.99516</v>
      </c>
      <c r="C57" s="17">
        <v>36753.33</v>
      </c>
      <c r="D57" s="17">
        <v>13972941.66516</v>
      </c>
      <c r="E57" s="17">
        <v>1759074.5346280001</v>
      </c>
      <c r="F57" s="17">
        <v>3386087.6592689999</v>
      </c>
      <c r="G57" s="17">
        <v>637394.90271399997</v>
      </c>
      <c r="H57" s="17">
        <v>271422.70258899999</v>
      </c>
      <c r="I57" s="17">
        <v>2477270.0539660002</v>
      </c>
      <c r="J57" s="17">
        <v>3800499.7695260001</v>
      </c>
      <c r="K57" s="17">
        <v>896233.57517800003</v>
      </c>
      <c r="L57" s="17">
        <v>1351256.9251870001</v>
      </c>
      <c r="M57" s="17">
        <v>4238928.0403929995</v>
      </c>
      <c r="N57" s="17">
        <v>2009749.7700680001</v>
      </c>
      <c r="O57" s="17">
        <v>212409.670385</v>
      </c>
      <c r="P57" s="17">
        <v>510800.36239099997</v>
      </c>
      <c r="Q57" s="17">
        <v>90036.444793000002</v>
      </c>
    </row>
    <row r="58" spans="1:17" ht="15" customHeight="1" x14ac:dyDescent="0.35">
      <c r="A58" s="16">
        <v>45107</v>
      </c>
      <c r="B58" s="17">
        <v>14383718.157679999</v>
      </c>
      <c r="C58" s="17">
        <v>27906.2</v>
      </c>
      <c r="D58" s="17">
        <v>14355811.95768</v>
      </c>
      <c r="E58" s="17">
        <v>1839318.591577</v>
      </c>
      <c r="F58" s="17">
        <v>3447826.4187050001</v>
      </c>
      <c r="G58" s="17">
        <v>659279.25085299998</v>
      </c>
      <c r="H58" s="17">
        <v>280970.53853800002</v>
      </c>
      <c r="I58" s="17">
        <v>2507576.6293139998</v>
      </c>
      <c r="J58" s="17">
        <v>4010839.4270520001</v>
      </c>
      <c r="K58" s="17">
        <v>923021.94923300005</v>
      </c>
      <c r="L58" s="17">
        <v>1434292.5052410001</v>
      </c>
      <c r="M58" s="17">
        <v>4368024.6769869998</v>
      </c>
      <c r="N58" s="17">
        <v>2052838.833298</v>
      </c>
      <c r="O58" s="17">
        <v>221370.120287</v>
      </c>
      <c r="P58" s="17">
        <v>525518.09820100002</v>
      </c>
      <c r="Q58" s="17">
        <v>94871.754522999996</v>
      </c>
    </row>
    <row r="59" spans="1:17" ht="15" customHeight="1" x14ac:dyDescent="0.35">
      <c r="A59" s="16">
        <v>45135</v>
      </c>
      <c r="B59" s="17">
        <v>14787123.3993</v>
      </c>
      <c r="C59" s="17">
        <v>20836.39</v>
      </c>
      <c r="D59" s="17">
        <v>14766287.009299999</v>
      </c>
      <c r="E59" s="17">
        <v>1826030.567544</v>
      </c>
      <c r="F59" s="17">
        <v>3380957.3930910002</v>
      </c>
      <c r="G59" s="17">
        <v>644362.64023000002</v>
      </c>
      <c r="H59" s="17">
        <v>270729.20891500002</v>
      </c>
      <c r="I59" s="17">
        <v>2465865.5439459998</v>
      </c>
      <c r="J59" s="17">
        <v>4039481.3018499999</v>
      </c>
      <c r="K59" s="17">
        <v>903949.76348700002</v>
      </c>
      <c r="L59" s="17">
        <v>1356108.3341989999</v>
      </c>
      <c r="M59" s="17">
        <v>4833558.266946</v>
      </c>
      <c r="N59" s="17">
        <v>2491006.1879170001</v>
      </c>
      <c r="O59" s="17">
        <v>225950.31</v>
      </c>
      <c r="P59" s="17">
        <v>531546.66294299997</v>
      </c>
      <c r="Q59" s="17">
        <v>95343.936168999993</v>
      </c>
    </row>
    <row r="60" spans="1:17" ht="15" customHeight="1" x14ac:dyDescent="0.35">
      <c r="A60" s="16">
        <v>45163</v>
      </c>
      <c r="B60" s="17">
        <v>14917311.568299999</v>
      </c>
      <c r="C60" s="17">
        <v>19355.39</v>
      </c>
      <c r="D60" s="17">
        <v>14897956.178300001</v>
      </c>
      <c r="E60" s="17">
        <v>1835215.1706109999</v>
      </c>
      <c r="F60" s="17">
        <v>3423735.6095560002</v>
      </c>
      <c r="G60" s="17">
        <v>655556.21197900001</v>
      </c>
      <c r="H60" s="17">
        <v>272434.76220599998</v>
      </c>
      <c r="I60" s="17">
        <v>2495744.635371</v>
      </c>
      <c r="J60" s="17">
        <v>4076333.7709610001</v>
      </c>
      <c r="K60" s="17">
        <v>911266.59172499995</v>
      </c>
      <c r="L60" s="17">
        <v>1360081.9460140001</v>
      </c>
      <c r="M60" s="17">
        <v>4876136.3264250001</v>
      </c>
      <c r="N60" s="17">
        <v>2505633.6278860001</v>
      </c>
      <c r="O60" s="17">
        <v>230657.13</v>
      </c>
      <c r="P60" s="17">
        <v>536213.65062900004</v>
      </c>
      <c r="Q60" s="17">
        <v>99625.503519000005</v>
      </c>
    </row>
    <row r="61" spans="1:17" ht="15" customHeight="1" x14ac:dyDescent="0.35">
      <c r="A61" s="16">
        <v>45191</v>
      </c>
      <c r="B61" s="17">
        <v>15151314.188239999</v>
      </c>
      <c r="C61" s="17">
        <v>18865.05</v>
      </c>
      <c r="D61" s="17">
        <v>15132449.13824</v>
      </c>
      <c r="E61" s="17">
        <v>1862538.031467</v>
      </c>
      <c r="F61" s="17">
        <v>3489700.363446</v>
      </c>
      <c r="G61" s="17">
        <v>662065.23595999996</v>
      </c>
      <c r="H61" s="17">
        <v>277613.70598600002</v>
      </c>
      <c r="I61" s="17">
        <v>2550021.4214989999</v>
      </c>
      <c r="J61" s="17">
        <v>4166060.2905950001</v>
      </c>
      <c r="K61" s="17">
        <v>937959.93992599996</v>
      </c>
      <c r="L61" s="17">
        <v>1396679.5297620001</v>
      </c>
      <c r="M61" s="17">
        <v>4934424.4270249996</v>
      </c>
      <c r="N61" s="17">
        <v>2527200.9651930002</v>
      </c>
      <c r="O61" s="17">
        <v>230259.437702</v>
      </c>
      <c r="P61" s="17">
        <v>544598.68415800005</v>
      </c>
      <c r="Q61" s="17">
        <v>97426.131133999996</v>
      </c>
    </row>
    <row r="62" spans="1:17" ht="15" customHeight="1" x14ac:dyDescent="0.35">
      <c r="A62" s="16">
        <v>45219</v>
      </c>
      <c r="B62" s="17">
        <v>15584525.6</v>
      </c>
      <c r="C62" s="17">
        <v>22803.47</v>
      </c>
      <c r="D62" s="17">
        <v>15561722.130000001</v>
      </c>
      <c r="E62" s="17">
        <v>1909689.3130000001</v>
      </c>
      <c r="F62" s="17">
        <v>3525507.3130000001</v>
      </c>
      <c r="G62" s="17">
        <v>687921.05570000003</v>
      </c>
      <c r="H62" s="17">
        <v>282977.1618</v>
      </c>
      <c r="I62" s="17">
        <v>2554609.0959999999</v>
      </c>
      <c r="J62" s="17">
        <v>4203822.83</v>
      </c>
      <c r="K62" s="17">
        <v>959322.61369999999</v>
      </c>
      <c r="L62" s="17">
        <v>1449630.8959999999</v>
      </c>
      <c r="M62" s="17">
        <v>5017400.5760000004</v>
      </c>
      <c r="N62" s="17">
        <v>2562002.09</v>
      </c>
      <c r="O62" s="17">
        <v>240635.4718</v>
      </c>
      <c r="P62" s="17">
        <v>537292.62919999997</v>
      </c>
      <c r="Q62" s="17">
        <v>89546.945399999997</v>
      </c>
    </row>
    <row r="63" spans="1:17" ht="15" customHeight="1" x14ac:dyDescent="0.35">
      <c r="A63" s="16">
        <v>45247</v>
      </c>
      <c r="B63" s="17">
        <v>15825455.710000001</v>
      </c>
      <c r="C63" s="17">
        <v>41692.639999999999</v>
      </c>
      <c r="D63" s="17">
        <v>15783763.07</v>
      </c>
      <c r="E63" s="17">
        <v>1927723.621</v>
      </c>
      <c r="F63" s="17">
        <v>3557468.62</v>
      </c>
      <c r="G63" s="17">
        <v>694024.10270000005</v>
      </c>
      <c r="H63" s="17">
        <v>285925.25030000001</v>
      </c>
      <c r="I63" s="17">
        <v>2577519.267</v>
      </c>
      <c r="J63" s="17">
        <v>4254815.5930000003</v>
      </c>
      <c r="K63" s="17">
        <v>942386.25300000003</v>
      </c>
      <c r="L63" s="17">
        <v>1464852.38</v>
      </c>
      <c r="M63" s="17">
        <v>5074665.0240000002</v>
      </c>
      <c r="N63" s="17">
        <v>2591486.4849999999</v>
      </c>
      <c r="O63" s="17">
        <v>244668.21</v>
      </c>
      <c r="P63" s="17">
        <v>548794.36849999998</v>
      </c>
      <c r="Q63" s="17">
        <v>89756.258449999994</v>
      </c>
    </row>
    <row r="64" spans="1:17" ht="15" customHeight="1" x14ac:dyDescent="0.35">
      <c r="A64" s="16">
        <v>45289</v>
      </c>
      <c r="B64" s="17">
        <v>15961943.970000001</v>
      </c>
      <c r="C64" s="17">
        <v>43138.61</v>
      </c>
      <c r="D64" s="17">
        <v>15918805.359999999</v>
      </c>
      <c r="E64" s="17">
        <v>1991030.054</v>
      </c>
      <c r="F64" s="17">
        <v>3622549.6880000001</v>
      </c>
      <c r="G64" s="17">
        <v>708809.1372</v>
      </c>
      <c r="H64" s="17">
        <v>292703.09940000001</v>
      </c>
      <c r="I64" s="17">
        <v>2621037.452</v>
      </c>
      <c r="J64" s="17">
        <v>4400726.0580000002</v>
      </c>
      <c r="K64" s="17">
        <v>971917.21790000005</v>
      </c>
      <c r="L64" s="17">
        <v>1521523.6740000001</v>
      </c>
      <c r="M64" s="17">
        <v>5187944.7039999999</v>
      </c>
      <c r="N64" s="17">
        <v>2637783.8309999998</v>
      </c>
      <c r="O64" s="17">
        <v>251842.79199999999</v>
      </c>
      <c r="P64" s="17">
        <v>563467.75939999998</v>
      </c>
      <c r="Q64" s="17">
        <v>91099.267810000005</v>
      </c>
    </row>
    <row r="65" spans="1:17" ht="15" customHeight="1" x14ac:dyDescent="0.35">
      <c r="A65" s="16">
        <v>45317</v>
      </c>
      <c r="B65" s="17">
        <v>16043591.800000001</v>
      </c>
      <c r="C65" s="17">
        <v>45618.73</v>
      </c>
      <c r="D65" s="17">
        <v>15997973.07</v>
      </c>
      <c r="E65" s="17">
        <v>2009098.3359999999</v>
      </c>
      <c r="F65" s="17">
        <v>3614409.355</v>
      </c>
      <c r="G65" s="17">
        <v>717262.4584</v>
      </c>
      <c r="H65" s="17">
        <v>294398.3579</v>
      </c>
      <c r="I65" s="17">
        <v>2602748.5380000002</v>
      </c>
      <c r="J65" s="17">
        <v>4413917.3099999996</v>
      </c>
      <c r="K65" s="17">
        <v>984726.18059999996</v>
      </c>
      <c r="L65" s="17">
        <v>1495417.577</v>
      </c>
      <c r="M65" s="17">
        <v>5229492.6950000003</v>
      </c>
      <c r="N65" s="17">
        <v>2658081.5619999999</v>
      </c>
      <c r="O65" s="17">
        <v>258503.29870000001</v>
      </c>
      <c r="P65" s="17">
        <v>560961.59409999999</v>
      </c>
      <c r="Q65" s="17">
        <v>91458.092829999994</v>
      </c>
    </row>
    <row r="66" spans="1:17" ht="15" customHeight="1" x14ac:dyDescent="0.35">
      <c r="A66" s="16">
        <v>45345</v>
      </c>
      <c r="B66" s="17">
        <v>16214134.77</v>
      </c>
      <c r="C66" s="17">
        <v>40501.67</v>
      </c>
      <c r="D66" s="17">
        <v>16173633.1</v>
      </c>
      <c r="E66" s="17">
        <v>2032170.5730000001</v>
      </c>
      <c r="F66" s="17">
        <v>3645197.2289999998</v>
      </c>
      <c r="G66" s="17">
        <v>721754.08490000002</v>
      </c>
      <c r="H66" s="17">
        <v>301314.85320000001</v>
      </c>
      <c r="I66" s="17">
        <v>2622128.2910000002</v>
      </c>
      <c r="J66" s="17">
        <v>4471927.642</v>
      </c>
      <c r="K66" s="17">
        <v>1007009.0110000001</v>
      </c>
      <c r="L66" s="17">
        <v>1490705.3589999999</v>
      </c>
      <c r="M66" s="17">
        <v>5279167.3569999998</v>
      </c>
      <c r="N66" s="17">
        <v>2680408.5610000002</v>
      </c>
      <c r="O66" s="17">
        <v>258107.39079999999</v>
      </c>
      <c r="P66" s="17">
        <v>565733.39989999996</v>
      </c>
      <c r="Q66" s="17">
        <v>92414.98861</v>
      </c>
    </row>
    <row r="67" spans="1:17" ht="15" customHeight="1" x14ac:dyDescent="0.35">
      <c r="A67" s="16">
        <v>45373</v>
      </c>
      <c r="B67" s="17">
        <v>16587041.810000001</v>
      </c>
      <c r="C67" s="17">
        <v>23080.81</v>
      </c>
      <c r="D67" s="17">
        <v>16563961</v>
      </c>
      <c r="E67" s="17">
        <v>2071250.996</v>
      </c>
      <c r="F67" s="17">
        <v>3682392.5320000001</v>
      </c>
      <c r="G67" s="17">
        <v>733123.35609999998</v>
      </c>
      <c r="H67" s="17">
        <v>306424.85399999999</v>
      </c>
      <c r="I67" s="17">
        <v>2642844.3220000002</v>
      </c>
      <c r="J67" s="17">
        <v>4547236.7659999998</v>
      </c>
      <c r="K67" s="17">
        <v>1024407.716</v>
      </c>
      <c r="L67" s="17">
        <v>1523054.469</v>
      </c>
      <c r="M67" s="17">
        <v>5346691.2209999999</v>
      </c>
      <c r="N67" s="17">
        <v>2718712.395</v>
      </c>
      <c r="O67" s="17">
        <v>257016.0607</v>
      </c>
      <c r="P67" s="17">
        <v>573390.82290000003</v>
      </c>
      <c r="Q67" s="17">
        <v>93301.371710000007</v>
      </c>
    </row>
    <row r="68" spans="1:17" ht="15" customHeight="1" x14ac:dyDescent="0.35">
      <c r="A68" s="16">
        <v>45401</v>
      </c>
      <c r="B68" s="17">
        <v>16491796.34</v>
      </c>
      <c r="C68" s="17">
        <v>18090.099999999999</v>
      </c>
      <c r="D68" s="17">
        <v>16473706.24</v>
      </c>
      <c r="E68" s="17">
        <v>2115986.04</v>
      </c>
      <c r="F68" s="17">
        <v>3686690.0419999999</v>
      </c>
      <c r="G68" s="17">
        <v>738532.62780000002</v>
      </c>
      <c r="H68" s="17">
        <v>311741.28730000003</v>
      </c>
      <c r="I68" s="17">
        <v>2636416.1269999999</v>
      </c>
      <c r="J68" s="17">
        <v>4559126.2889999999</v>
      </c>
      <c r="K68" s="17">
        <v>1020057.99</v>
      </c>
      <c r="L68" s="17">
        <v>1540061.358</v>
      </c>
      <c r="M68" s="17">
        <v>5361906.9890000001</v>
      </c>
      <c r="N68" s="17">
        <v>2741452.307</v>
      </c>
      <c r="O68" s="17">
        <v>259641.33059999999</v>
      </c>
      <c r="P68" s="17">
        <v>578496.89820000005</v>
      </c>
      <c r="Q68" s="17">
        <v>92832.38308</v>
      </c>
    </row>
    <row r="69" spans="1:17" ht="15" customHeight="1" x14ac:dyDescent="0.35">
      <c r="A69" s="16">
        <v>45443</v>
      </c>
      <c r="B69" s="17">
        <v>16784076.140000001</v>
      </c>
      <c r="C69" s="17">
        <v>40258.89</v>
      </c>
      <c r="D69" s="17">
        <v>16743817.25</v>
      </c>
      <c r="E69" s="17">
        <v>2139044.7540000002</v>
      </c>
      <c r="F69" s="17">
        <v>3736970.2390000001</v>
      </c>
      <c r="G69" s="17">
        <v>743388.57140000002</v>
      </c>
      <c r="H69" s="17">
        <v>315803.95610000001</v>
      </c>
      <c r="I69" s="17">
        <v>2677777.7119999998</v>
      </c>
      <c r="J69" s="17">
        <v>4632067.68</v>
      </c>
      <c r="K69" s="17">
        <v>1052278.148</v>
      </c>
      <c r="L69" s="17">
        <v>1547284.409</v>
      </c>
      <c r="M69" s="17">
        <v>5472084.54</v>
      </c>
      <c r="N69" s="17">
        <v>2786546.6949999998</v>
      </c>
      <c r="O69" s="17">
        <v>267978.92050000001</v>
      </c>
      <c r="P69" s="17">
        <v>586821.60679999995</v>
      </c>
      <c r="Q69" s="17">
        <v>107544.05130000001</v>
      </c>
    </row>
    <row r="70" spans="1:17" ht="15" customHeight="1" x14ac:dyDescent="0.35">
      <c r="A70" s="16">
        <v>45471</v>
      </c>
      <c r="B70" s="17">
        <v>16880782.199999999</v>
      </c>
      <c r="C70" s="17">
        <v>33903.61</v>
      </c>
      <c r="D70" s="17">
        <v>16846878.59</v>
      </c>
      <c r="E70" s="17">
        <v>2159558.9759999998</v>
      </c>
      <c r="F70" s="17">
        <v>3762913.9929999998</v>
      </c>
      <c r="G70" s="17">
        <v>738665.79810000001</v>
      </c>
      <c r="H70" s="17">
        <v>318820.04550000001</v>
      </c>
      <c r="I70" s="17">
        <v>2705428.1490000002</v>
      </c>
      <c r="J70" s="17">
        <v>4656519.557</v>
      </c>
      <c r="K70" s="17">
        <v>1057348.1159999999</v>
      </c>
      <c r="L70" s="17">
        <v>1547665.6910000001</v>
      </c>
      <c r="M70" s="17">
        <v>5501898.9979999997</v>
      </c>
      <c r="N70" s="17">
        <v>2798565.2009999999</v>
      </c>
      <c r="O70" s="17">
        <v>273044.2303</v>
      </c>
      <c r="P70" s="17">
        <v>588567.82499999995</v>
      </c>
      <c r="Q70" s="17">
        <v>114668.8239</v>
      </c>
    </row>
    <row r="71" spans="1:17" ht="15" customHeight="1" x14ac:dyDescent="0.35">
      <c r="A71" s="16">
        <v>45499</v>
      </c>
      <c r="B71" s="17">
        <v>16814792.059999999</v>
      </c>
      <c r="C71" s="17">
        <v>28190.14</v>
      </c>
      <c r="D71" s="17">
        <v>16786601.920000002</v>
      </c>
      <c r="E71" s="17">
        <v>2156319.9210000001</v>
      </c>
      <c r="F71" s="17">
        <v>3757762.3319999999</v>
      </c>
      <c r="G71" s="17">
        <v>736991.74509999994</v>
      </c>
      <c r="H71" s="17">
        <v>319742.66649999999</v>
      </c>
      <c r="I71" s="17">
        <v>2701027.92</v>
      </c>
      <c r="J71" s="17">
        <v>4574125.3779999996</v>
      </c>
      <c r="K71" s="17">
        <v>1041866.816</v>
      </c>
      <c r="L71" s="17">
        <v>1522107.0919999999</v>
      </c>
      <c r="M71" s="17">
        <v>5524310.1109999996</v>
      </c>
      <c r="N71" s="17">
        <v>2810105.0580000002</v>
      </c>
      <c r="O71" s="17">
        <v>275601.47019999998</v>
      </c>
      <c r="P71" s="17">
        <v>590973.85120000003</v>
      </c>
      <c r="Q71" s="17">
        <v>124169.98239999999</v>
      </c>
    </row>
    <row r="72" spans="1:17" ht="15" customHeight="1" x14ac:dyDescent="0.35">
      <c r="A72" s="16">
        <v>45527</v>
      </c>
      <c r="B72" s="17">
        <v>16945162.140000001</v>
      </c>
      <c r="C72" s="17">
        <v>24360.63</v>
      </c>
      <c r="D72" s="17">
        <v>16920801.510000002</v>
      </c>
      <c r="E72" s="17">
        <v>2160633.9350000001</v>
      </c>
      <c r="F72" s="17">
        <v>3790000.5070000002</v>
      </c>
      <c r="G72" s="17">
        <v>750741.88580000005</v>
      </c>
      <c r="H72" s="17">
        <v>327378.3688</v>
      </c>
      <c r="I72" s="17">
        <v>2711880.2519999999</v>
      </c>
      <c r="J72" s="17">
        <v>4593071.0820000004</v>
      </c>
      <c r="K72" s="17">
        <v>1051325.7779999999</v>
      </c>
      <c r="L72" s="17">
        <v>1517539.3189999999</v>
      </c>
      <c r="M72" s="17">
        <v>5572191.1909999996</v>
      </c>
      <c r="N72" s="17">
        <v>2833162.7259999998</v>
      </c>
      <c r="O72" s="17">
        <v>276576.38020000001</v>
      </c>
      <c r="P72" s="17">
        <v>595752.17469999997</v>
      </c>
      <c r="Q72" s="17">
        <v>132646.87100000001</v>
      </c>
    </row>
    <row r="73" spans="1:17" ht="15" customHeight="1" x14ac:dyDescent="0.35">
      <c r="A73" s="16">
        <v>45555</v>
      </c>
      <c r="B73" s="17">
        <v>17125052</v>
      </c>
      <c r="C73" s="17">
        <v>19925.560000000001</v>
      </c>
      <c r="D73" s="17">
        <v>17105126.440000001</v>
      </c>
      <c r="E73" s="17">
        <v>2167287.2540000002</v>
      </c>
      <c r="F73" s="17">
        <v>3837176.8969999999</v>
      </c>
      <c r="G73" s="17">
        <v>757995.6335</v>
      </c>
      <c r="H73" s="17">
        <v>337031.13219999999</v>
      </c>
      <c r="I73" s="17">
        <v>2742150.1310000001</v>
      </c>
      <c r="J73" s="17">
        <v>4684512.4850000003</v>
      </c>
      <c r="K73" s="17">
        <v>1071437.4939999999</v>
      </c>
      <c r="L73" s="17">
        <v>1528515.1470000001</v>
      </c>
      <c r="M73" s="17">
        <v>5613590.7659999998</v>
      </c>
      <c r="N73" s="17">
        <v>2845502.3590000002</v>
      </c>
      <c r="O73" s="17">
        <v>271812.77010000002</v>
      </c>
      <c r="P73" s="17">
        <v>602360.9436</v>
      </c>
      <c r="Q73" s="17">
        <v>139900.71429999999</v>
      </c>
    </row>
    <row r="74" spans="1:17" ht="15" customHeight="1" x14ac:dyDescent="0.35">
      <c r="A74" s="16">
        <v>45583</v>
      </c>
      <c r="B74" s="17">
        <v>17419531.890000001</v>
      </c>
      <c r="C74" s="17">
        <v>30054.53</v>
      </c>
      <c r="D74" s="17">
        <v>17389477.359999999</v>
      </c>
      <c r="E74" s="17">
        <v>2205578.8360000001</v>
      </c>
      <c r="F74" s="17">
        <v>3812249.898</v>
      </c>
      <c r="G74" s="17">
        <v>757113.40899999999</v>
      </c>
      <c r="H74" s="17">
        <v>338366.77799999999</v>
      </c>
      <c r="I74" s="17">
        <v>2716769.7110000001</v>
      </c>
      <c r="J74" s="17">
        <v>4729328.5559999999</v>
      </c>
      <c r="K74" s="17">
        <v>1078650.885</v>
      </c>
      <c r="L74" s="17">
        <v>1535998.611</v>
      </c>
      <c r="M74" s="17">
        <v>5664805.7520000003</v>
      </c>
      <c r="N74" s="17">
        <v>2871841.068</v>
      </c>
      <c r="O74" s="17">
        <v>281391.99099999998</v>
      </c>
      <c r="P74" s="17">
        <v>601969.75170000002</v>
      </c>
      <c r="Q74" s="17">
        <v>147724.3075</v>
      </c>
    </row>
    <row r="75" spans="1:17" ht="15" customHeight="1" x14ac:dyDescent="0.35">
      <c r="A75" s="16">
        <v>45625</v>
      </c>
      <c r="B75" s="17">
        <v>17508956</v>
      </c>
      <c r="C75" s="17">
        <v>51254</v>
      </c>
      <c r="D75" s="17">
        <v>17457702</v>
      </c>
      <c r="E75" s="17">
        <v>2223466.642</v>
      </c>
      <c r="F75" s="17">
        <v>3851151.54</v>
      </c>
      <c r="G75" s="17">
        <v>764477.71270000003</v>
      </c>
      <c r="H75" s="17">
        <v>343082.51069999998</v>
      </c>
      <c r="I75" s="17">
        <v>2743591.3169999998</v>
      </c>
      <c r="J75" s="17">
        <v>4798401.8049999997</v>
      </c>
      <c r="K75" s="17">
        <v>1078092.5919999999</v>
      </c>
      <c r="L75" s="17">
        <v>1574648.125</v>
      </c>
      <c r="M75" s="17">
        <v>5752280.6179999998</v>
      </c>
      <c r="N75" s="17">
        <v>2908672.2370000002</v>
      </c>
      <c r="O75" s="17">
        <v>288996.76089999999</v>
      </c>
      <c r="P75" s="17">
        <v>605581.15740000003</v>
      </c>
      <c r="Q75" s="17">
        <v>159153.15909999999</v>
      </c>
    </row>
    <row r="76" spans="1:17" ht="15" customHeight="1" x14ac:dyDescent="0.35">
      <c r="A76" s="16">
        <v>45653</v>
      </c>
      <c r="B76" s="17">
        <v>17743037.780000001</v>
      </c>
      <c r="C76" s="17">
        <v>56139</v>
      </c>
      <c r="D76" s="17">
        <v>17686898.780000001</v>
      </c>
      <c r="E76" s="17">
        <v>2239028.1</v>
      </c>
      <c r="F76" s="17">
        <v>3893504.0189999999</v>
      </c>
      <c r="G76" s="17">
        <v>778528.55099999998</v>
      </c>
      <c r="H76" s="17">
        <v>350738.93839999998</v>
      </c>
      <c r="I76" s="17">
        <v>2764236.53</v>
      </c>
      <c r="J76" s="17">
        <v>4905686.409</v>
      </c>
      <c r="K76" s="17">
        <v>1107394.72</v>
      </c>
      <c r="L76" s="17">
        <v>1621000.5330000001</v>
      </c>
      <c r="M76" s="17">
        <v>5812623.5149999997</v>
      </c>
      <c r="N76" s="17">
        <v>2931738.852</v>
      </c>
      <c r="O76" s="17">
        <v>291086.84080000001</v>
      </c>
      <c r="P76" s="17">
        <v>613296.18680000002</v>
      </c>
      <c r="Q76" s="17">
        <v>168128.17509999999</v>
      </c>
    </row>
    <row r="77" spans="1:17" ht="15" customHeight="1" x14ac:dyDescent="0.35">
      <c r="A77" s="16">
        <v>45681</v>
      </c>
      <c r="B77" s="17">
        <v>17868478.530000001</v>
      </c>
      <c r="C77" s="17">
        <v>56178.86</v>
      </c>
      <c r="D77" s="17">
        <v>17812299.670000002</v>
      </c>
      <c r="E77" s="17">
        <v>2253510.2850000001</v>
      </c>
      <c r="F77" s="17">
        <v>3913968.8730000001</v>
      </c>
      <c r="G77" s="17">
        <v>786045.97730000003</v>
      </c>
      <c r="H77" s="17">
        <v>348614.49410000001</v>
      </c>
      <c r="I77" s="17">
        <v>2779308.4019999998</v>
      </c>
      <c r="J77" s="17">
        <v>4956419.4129999997</v>
      </c>
      <c r="K77" s="17">
        <v>1127156.3640000001</v>
      </c>
      <c r="L77" s="17">
        <v>1617897.7679999999</v>
      </c>
      <c r="M77" s="17">
        <v>5849356.3190000001</v>
      </c>
      <c r="N77" s="17">
        <v>2950973.7230000002</v>
      </c>
      <c r="O77" s="17">
        <v>292083.48060000001</v>
      </c>
      <c r="P77" s="17">
        <v>615234.99639999995</v>
      </c>
      <c r="Q77" s="17">
        <v>175086.23579999999</v>
      </c>
    </row>
    <row r="78" spans="1:17" ht="15" customHeight="1" x14ac:dyDescent="0.35">
      <c r="A78" s="16">
        <v>45709</v>
      </c>
      <c r="B78" s="17">
        <v>18125412.600000001</v>
      </c>
      <c r="C78" s="17">
        <v>42552.27</v>
      </c>
      <c r="D78" s="17">
        <v>18082860.329999998</v>
      </c>
      <c r="E78" s="17">
        <v>2264305.12</v>
      </c>
      <c r="F78" s="17">
        <v>3916782.6630000002</v>
      </c>
      <c r="G78" s="17">
        <v>791321.24690000003</v>
      </c>
      <c r="H78" s="17">
        <v>355603.48739999998</v>
      </c>
      <c r="I78" s="17">
        <v>2769857.929</v>
      </c>
      <c r="J78" s="17">
        <v>4995649.4550000001</v>
      </c>
      <c r="K78" s="17">
        <v>1154669.199</v>
      </c>
      <c r="L78" s="17">
        <v>1610743.7439999999</v>
      </c>
      <c r="M78" s="17">
        <v>5898807.5029999996</v>
      </c>
      <c r="N78" s="17">
        <v>2978758.7880000002</v>
      </c>
      <c r="O78" s="17">
        <v>287047.06060000003</v>
      </c>
      <c r="P78" s="17">
        <v>619796.60950000002</v>
      </c>
      <c r="Q78" s="17">
        <v>188051.30729999999</v>
      </c>
    </row>
    <row r="79" spans="1:17" ht="15" customHeight="1" x14ac:dyDescent="0.35">
      <c r="A79" s="16">
        <v>45737</v>
      </c>
      <c r="B79" s="17">
        <v>18401354.280000001</v>
      </c>
      <c r="C79" s="17">
        <v>29356.71</v>
      </c>
      <c r="D79" s="17">
        <v>18371997.57</v>
      </c>
      <c r="E79" s="17">
        <v>2287060.0989999999</v>
      </c>
      <c r="F79" s="17">
        <v>3985659.551</v>
      </c>
      <c r="G79" s="17">
        <v>798472.66079999995</v>
      </c>
      <c r="H79" s="17">
        <v>363245.01919999998</v>
      </c>
      <c r="I79" s="17">
        <v>2823941.8709999998</v>
      </c>
      <c r="J79" s="17">
        <v>5093565.108</v>
      </c>
      <c r="K79" s="17">
        <v>1184550.227</v>
      </c>
      <c r="L79" s="17">
        <v>1635102.162</v>
      </c>
      <c r="M79" s="17">
        <v>5971696.1299999999</v>
      </c>
      <c r="N79" s="17">
        <v>3010476.605</v>
      </c>
      <c r="O79" s="17">
        <v>284366.26049999997</v>
      </c>
      <c r="P79" s="17">
        <v>622793.4497</v>
      </c>
      <c r="Q79" s="17">
        <v>206284.0245</v>
      </c>
    </row>
    <row r="80" spans="1:17" ht="15" customHeight="1" x14ac:dyDescent="0.35">
      <c r="A80" s="16">
        <v>45765</v>
      </c>
      <c r="B80" s="17">
        <v>18286312.850000001</v>
      </c>
      <c r="C80" s="17">
        <v>62446.15</v>
      </c>
      <c r="D80" s="17">
        <v>18223866.699999999</v>
      </c>
      <c r="E80" s="17">
        <v>2309630.693</v>
      </c>
      <c r="F80" s="17">
        <v>3943926.906</v>
      </c>
      <c r="G80" s="17">
        <v>806396.46889999998</v>
      </c>
      <c r="H80" s="17">
        <v>368211.94579999999</v>
      </c>
      <c r="I80" s="17">
        <v>2769318.4920000001</v>
      </c>
      <c r="J80" s="17">
        <v>5021392.4289999995</v>
      </c>
      <c r="K80" s="17">
        <v>1161709.77</v>
      </c>
      <c r="L80" s="17">
        <v>1609971.838</v>
      </c>
      <c r="M80" s="17">
        <v>5999591.977</v>
      </c>
      <c r="N80" s="17">
        <v>3008940.9010000001</v>
      </c>
      <c r="O80" s="17">
        <v>287172.28490000003</v>
      </c>
      <c r="P80" s="17">
        <v>629690.92409999995</v>
      </c>
      <c r="Q80" s="17">
        <v>220953.3407</v>
      </c>
    </row>
    <row r="81" spans="1:17" ht="15" customHeight="1" x14ac:dyDescent="0.35">
      <c r="A81" s="16">
        <v>45807</v>
      </c>
      <c r="B81" s="17">
        <v>18287376.710000001</v>
      </c>
      <c r="C81" s="17">
        <v>70580.710000000006</v>
      </c>
      <c r="D81" s="17">
        <v>18216796</v>
      </c>
      <c r="E81" s="17">
        <v>2298801.702</v>
      </c>
      <c r="F81" s="17">
        <v>3933611.9479999999</v>
      </c>
      <c r="G81" s="17">
        <v>845173.83360000001</v>
      </c>
      <c r="H81" s="17">
        <v>369215.14270000003</v>
      </c>
      <c r="I81" s="17">
        <v>2719222.9720000001</v>
      </c>
      <c r="J81" s="17">
        <v>5020623.0729999999</v>
      </c>
      <c r="K81" s="17">
        <v>1161772.977</v>
      </c>
      <c r="L81" s="17">
        <v>1562084.08</v>
      </c>
      <c r="M81" s="17">
        <v>6080166.1119999997</v>
      </c>
      <c r="N81" s="17">
        <v>3037367.44</v>
      </c>
      <c r="O81" s="17">
        <v>290677.78080000001</v>
      </c>
      <c r="P81" s="17">
        <v>637883.92619999999</v>
      </c>
      <c r="Q81" s="17">
        <v>250263.30069999999</v>
      </c>
    </row>
    <row r="82" spans="1:17" ht="15" customHeight="1" x14ac:dyDescent="0.35">
      <c r="A82" s="16">
        <v>45835</v>
      </c>
      <c r="B82" s="17">
        <v>18486199.73</v>
      </c>
      <c r="C82" s="17">
        <v>64388.73</v>
      </c>
      <c r="D82" s="17">
        <v>18421811</v>
      </c>
      <c r="E82" s="17">
        <v>2305994.9870000002</v>
      </c>
      <c r="F82" s="17">
        <v>4001401.4109999998</v>
      </c>
      <c r="G82" s="17">
        <v>880692.89130000002</v>
      </c>
      <c r="H82" s="17">
        <v>360979.94429999997</v>
      </c>
      <c r="I82" s="17">
        <v>2759728.5750000002</v>
      </c>
      <c r="J82" s="17">
        <v>5067273.3779999996</v>
      </c>
      <c r="K82" s="17">
        <v>1169981.8319999999</v>
      </c>
      <c r="L82" s="17">
        <v>1595950.1129999999</v>
      </c>
      <c r="M82" s="17">
        <v>6145222.3930000002</v>
      </c>
      <c r="N82" s="17">
        <v>3067119.9070000001</v>
      </c>
      <c r="O82" s="17">
        <v>292601.72269999998</v>
      </c>
      <c r="P82" s="17">
        <v>642866.10930000001</v>
      </c>
      <c r="Q82" s="17">
        <v>276288.73269999999</v>
      </c>
    </row>
    <row r="83" spans="1:17" ht="15" customHeight="1" x14ac:dyDescent="0.35">
      <c r="A83" s="16">
        <v>45863</v>
      </c>
      <c r="B83" s="17">
        <v>18501377</v>
      </c>
      <c r="C83" s="17">
        <v>56674</v>
      </c>
      <c r="D83" s="17">
        <v>18444703</v>
      </c>
      <c r="E83" s="17">
        <v>2313847</v>
      </c>
      <c r="F83" s="17">
        <v>4002277</v>
      </c>
      <c r="G83" s="17">
        <v>891275.29319999996</v>
      </c>
      <c r="H83" s="17">
        <v>367586</v>
      </c>
      <c r="I83" s="17">
        <v>2743416</v>
      </c>
      <c r="J83" s="17">
        <v>5040440</v>
      </c>
      <c r="K83" s="17">
        <v>1175646</v>
      </c>
      <c r="L83" s="17">
        <v>1568384</v>
      </c>
      <c r="M83" s="17">
        <v>6180072</v>
      </c>
      <c r="N83" s="17">
        <v>3081152</v>
      </c>
      <c r="O83" s="17">
        <v>291088</v>
      </c>
      <c r="P83" s="17">
        <v>643654</v>
      </c>
      <c r="Q83" s="17">
        <v>293568.44500000001</v>
      </c>
    </row>
    <row r="84" spans="1:17" ht="15" customHeight="1" x14ac:dyDescent="0.35">
      <c r="A84" s="16">
        <v>45891</v>
      </c>
      <c r="B84" s="17">
        <v>18644997.25</v>
      </c>
      <c r="C84" s="17">
        <v>50455.85</v>
      </c>
      <c r="D84" s="17">
        <v>18594541.399999999</v>
      </c>
      <c r="E84" s="17">
        <v>2324721</v>
      </c>
      <c r="F84" s="17">
        <v>4055965</v>
      </c>
      <c r="G84" s="17">
        <v>907102.90280000004</v>
      </c>
      <c r="H84" s="17">
        <v>370850</v>
      </c>
      <c r="I84" s="17">
        <v>2778012</v>
      </c>
      <c r="J84" s="17">
        <v>5064686</v>
      </c>
      <c r="K84" s="17">
        <v>1180585</v>
      </c>
      <c r="L84" s="17">
        <v>1573845</v>
      </c>
      <c r="M84" s="17">
        <v>6232566</v>
      </c>
      <c r="N84" s="17">
        <v>3108790</v>
      </c>
      <c r="O84" s="17">
        <v>288691</v>
      </c>
      <c r="P84" s="17">
        <v>647828</v>
      </c>
      <c r="Q84" s="17">
        <v>305342.43209999998</v>
      </c>
    </row>
    <row r="85" spans="1:17" ht="15" customHeight="1" x14ac:dyDescent="0.35">
      <c r="A85" s="16">
        <v>45919</v>
      </c>
      <c r="B85" s="17">
        <v>18902933.600000001</v>
      </c>
      <c r="C85" s="17">
        <v>45284.14</v>
      </c>
      <c r="D85" s="17">
        <v>18857649.460000001</v>
      </c>
      <c r="E85" s="17">
        <v>2361595</v>
      </c>
      <c r="F85" s="17">
        <v>4136178</v>
      </c>
      <c r="G85" s="17">
        <v>924701.56090000004</v>
      </c>
      <c r="H85" s="17">
        <v>385991</v>
      </c>
      <c r="I85" s="17">
        <v>2825485</v>
      </c>
      <c r="J85" s="17">
        <v>5144227</v>
      </c>
      <c r="K85" s="17">
        <v>1196397</v>
      </c>
      <c r="L85" s="17">
        <v>1588698</v>
      </c>
      <c r="M85" s="17">
        <v>6273708</v>
      </c>
      <c r="N85" s="17">
        <v>3132868</v>
      </c>
      <c r="O85" s="17">
        <v>281823</v>
      </c>
      <c r="P85" s="17">
        <v>646242</v>
      </c>
      <c r="Q85" s="17">
        <v>315684.06069999997</v>
      </c>
    </row>
    <row r="86" spans="1:17" ht="15" customHeight="1" x14ac:dyDescent="0.35">
      <c r="A86" s="16">
        <v>45961</v>
      </c>
      <c r="B86" s="17">
        <v>19390499.710000001</v>
      </c>
      <c r="C86" s="17">
        <v>70371.31</v>
      </c>
      <c r="D86" s="17">
        <v>19320128.399999999</v>
      </c>
      <c r="E86" s="17">
        <v>2402610</v>
      </c>
      <c r="F86" s="17">
        <v>4192700</v>
      </c>
      <c r="G86" s="17">
        <v>953571.88899999997</v>
      </c>
      <c r="H86" s="17">
        <v>398071</v>
      </c>
      <c r="I86" s="17">
        <v>2841057</v>
      </c>
      <c r="J86" s="17">
        <v>5345246</v>
      </c>
      <c r="K86" s="17">
        <v>1227077</v>
      </c>
      <c r="L86" s="17">
        <v>1703567</v>
      </c>
      <c r="M86" s="17">
        <v>6455946</v>
      </c>
      <c r="N86" s="17">
        <v>3187475</v>
      </c>
      <c r="O86" s="17">
        <v>303073</v>
      </c>
      <c r="P86" s="17">
        <v>677349</v>
      </c>
      <c r="Q86" s="17">
        <v>337580</v>
      </c>
    </row>
    <row r="87" spans="1:17" ht="15" customHeight="1" x14ac:dyDescent="0.35">
      <c r="A87" s="16">
        <v>45989</v>
      </c>
      <c r="B87" s="17">
        <v>19527313.07</v>
      </c>
      <c r="C87" s="17">
        <v>79801.03</v>
      </c>
      <c r="D87" s="17">
        <v>19447512.039999999</v>
      </c>
      <c r="E87" s="17">
        <v>2417050</v>
      </c>
      <c r="F87" s="17">
        <v>4219433</v>
      </c>
      <c r="G87" s="17">
        <v>952302.48120000004</v>
      </c>
      <c r="H87" s="17">
        <v>397098</v>
      </c>
      <c r="I87" s="17">
        <v>2870032</v>
      </c>
      <c r="J87" s="17">
        <v>5359639</v>
      </c>
      <c r="K87" s="17">
        <v>1230778</v>
      </c>
      <c r="L87" s="17">
        <v>1723493</v>
      </c>
      <c r="M87" s="17">
        <v>6486418</v>
      </c>
      <c r="N87" s="17">
        <v>3195341</v>
      </c>
      <c r="O87" s="17">
        <v>296070</v>
      </c>
      <c r="P87" s="17">
        <v>680536</v>
      </c>
      <c r="Q87" s="17">
        <v>358645</v>
      </c>
    </row>
    <row r="88" spans="1:17" ht="15" customHeight="1" x14ac:dyDescent="0.35">
      <c r="A88" s="16">
        <v>46022</v>
      </c>
      <c r="B88" s="17">
        <v>20322515.469999999</v>
      </c>
      <c r="C88" s="17">
        <v>87972.45</v>
      </c>
      <c r="D88" s="17">
        <v>20234543.02</v>
      </c>
      <c r="E88" s="17">
        <v>2509200</v>
      </c>
      <c r="F88" s="17">
        <v>4390876</v>
      </c>
      <c r="G88" s="17">
        <v>1015019.645</v>
      </c>
      <c r="H88" s="17">
        <v>422216</v>
      </c>
      <c r="I88" s="17">
        <v>2953641</v>
      </c>
      <c r="J88" s="17">
        <v>5661328</v>
      </c>
      <c r="K88" s="17">
        <v>1300856</v>
      </c>
      <c r="L88" s="17">
        <v>1865190</v>
      </c>
      <c r="M88" s="17">
        <v>6664044</v>
      </c>
      <c r="N88" s="17">
        <v>3256397</v>
      </c>
      <c r="O88" s="17">
        <v>293898</v>
      </c>
      <c r="P88" s="17">
        <v>715647</v>
      </c>
      <c r="Q88" s="17">
        <v>380205.58720000001</v>
      </c>
    </row>
    <row r="89" spans="1:17" ht="15" customHeight="1" x14ac:dyDescent="0.35">
      <c r="A89" s="16">
        <v>46053</v>
      </c>
      <c r="B89" s="17">
        <v>20475381.960000001</v>
      </c>
      <c r="C89" s="17">
        <v>89295.4</v>
      </c>
      <c r="D89" s="17">
        <v>20386086.559999999</v>
      </c>
      <c r="E89" s="17">
        <v>2509789</v>
      </c>
      <c r="F89" s="17">
        <v>4388308</v>
      </c>
      <c r="G89" s="17">
        <v>1031291.399</v>
      </c>
      <c r="H89" s="17">
        <v>426211</v>
      </c>
      <c r="I89" s="17">
        <v>2930806</v>
      </c>
      <c r="J89" s="17">
        <v>5722969</v>
      </c>
      <c r="K89" s="17">
        <v>1309115</v>
      </c>
      <c r="L89" s="17">
        <v>1905207</v>
      </c>
      <c r="M89" s="17">
        <v>6723042</v>
      </c>
      <c r="N89" s="17">
        <v>3278420</v>
      </c>
      <c r="O89" s="17">
        <v>296417</v>
      </c>
      <c r="P89" s="17">
        <v>720567</v>
      </c>
      <c r="Q89" s="17">
        <v>400517</v>
      </c>
    </row>
    <row r="90" spans="1:17" ht="15" customHeight="1" x14ac:dyDescent="0.35">
      <c r="A90" s="16">
        <v>46081</v>
      </c>
      <c r="B90" s="17">
        <v>20754077.690000001</v>
      </c>
      <c r="C90" s="17">
        <v>82643.14</v>
      </c>
      <c r="D90" s="17">
        <v>20671434.550000001</v>
      </c>
      <c r="E90" s="17">
        <v>2543477</v>
      </c>
      <c r="F90" s="17">
        <v>4447192</v>
      </c>
      <c r="G90" s="17">
        <v>1031798.696</v>
      </c>
      <c r="H90" s="17">
        <v>430263</v>
      </c>
      <c r="I90" s="17">
        <v>2985130</v>
      </c>
      <c r="J90" s="17">
        <v>5807798</v>
      </c>
      <c r="K90" s="17">
        <v>1320670</v>
      </c>
      <c r="L90" s="17">
        <v>1947584</v>
      </c>
      <c r="M90" s="17">
        <v>6796850</v>
      </c>
      <c r="N90" s="17">
        <v>3305691</v>
      </c>
      <c r="O90" s="17">
        <v>292067</v>
      </c>
      <c r="P90" s="17">
        <v>726037</v>
      </c>
      <c r="Q90" s="17">
        <v>428578</v>
      </c>
    </row>
    <row r="91" spans="1:17" ht="15" customHeight="1" x14ac:dyDescent="0.35">
      <c r="A91" s="16">
        <v>46112</v>
      </c>
      <c r="B91" s="17">
        <v>21361434.739999998</v>
      </c>
      <c r="C91" s="17">
        <v>70271.350000000006</v>
      </c>
      <c r="D91" s="17">
        <v>21291163.390000001</v>
      </c>
      <c r="E91" s="17">
        <v>2644249.7760000001</v>
      </c>
      <c r="F91" s="17">
        <v>4584304.3470000001</v>
      </c>
      <c r="G91" s="17">
        <v>1059416.6000000001</v>
      </c>
      <c r="H91" s="17">
        <v>442584.87349999999</v>
      </c>
      <c r="I91" s="17">
        <v>3082302.8739999998</v>
      </c>
      <c r="J91" s="17">
        <v>6061400.0659999996</v>
      </c>
      <c r="K91" s="17">
        <v>1376531.1950000001</v>
      </c>
      <c r="L91" s="17">
        <v>2069732</v>
      </c>
      <c r="M91" s="17">
        <v>6939750.4510000004</v>
      </c>
      <c r="N91" s="17">
        <v>3355962.5210000002</v>
      </c>
      <c r="O91" s="17">
        <v>294460.7795</v>
      </c>
      <c r="P91" s="17">
        <v>738677.68370000005</v>
      </c>
      <c r="Q91" s="17">
        <v>461373</v>
      </c>
    </row>
    <row r="92" spans="1:17" ht="15" customHeight="1" x14ac:dyDescent="0.35">
      <c r="A92" s="16">
        <v>46142</v>
      </c>
      <c r="B92" s="17">
        <v>21211828.309999999</v>
      </c>
      <c r="C92" s="17">
        <v>103915.28</v>
      </c>
      <c r="D92" s="17">
        <v>21107913.030000001</v>
      </c>
      <c r="E92" s="17">
        <v>2626040</v>
      </c>
      <c r="F92" s="17">
        <v>4537732</v>
      </c>
      <c r="G92" s="17">
        <v>1049053</v>
      </c>
      <c r="H92" s="17">
        <v>441429</v>
      </c>
      <c r="I92" s="17">
        <v>3047250</v>
      </c>
      <c r="J92" s="17">
        <v>5954519</v>
      </c>
      <c r="K92" s="17">
        <v>1317230</v>
      </c>
      <c r="L92" s="17">
        <v>2056412</v>
      </c>
      <c r="M92" s="17">
        <v>6960422</v>
      </c>
      <c r="N92" s="17">
        <v>3351752</v>
      </c>
      <c r="O92" s="17">
        <v>298016</v>
      </c>
      <c r="P92" s="17">
        <v>742870</v>
      </c>
      <c r="Q92" s="17">
        <v>488761</v>
      </c>
    </row>
    <row r="93" spans="1:17" ht="15" customHeight="1" x14ac:dyDescent="0.35">
      <c r="A93" s="16">
        <v>46173</v>
      </c>
      <c r="B93" s="17">
        <v>21515965.07</v>
      </c>
      <c r="C93" s="17">
        <v>137005.47</v>
      </c>
      <c r="D93" s="17">
        <v>21378959.600000001</v>
      </c>
      <c r="E93" s="17">
        <v>2641484</v>
      </c>
      <c r="F93" s="17">
        <v>4623904</v>
      </c>
      <c r="G93" s="17">
        <v>1066411</v>
      </c>
      <c r="H93" s="17">
        <v>447397</v>
      </c>
      <c r="I93" s="17">
        <v>3110095</v>
      </c>
      <c r="J93" s="17">
        <v>6045176</v>
      </c>
      <c r="K93" s="17">
        <v>1362456</v>
      </c>
      <c r="L93" s="17">
        <v>2088395</v>
      </c>
      <c r="M93" s="17">
        <v>7015041</v>
      </c>
      <c r="N93" s="17">
        <v>3369034</v>
      </c>
      <c r="O93" s="17">
        <v>294535</v>
      </c>
      <c r="P93" s="17">
        <v>748450</v>
      </c>
      <c r="Q93" s="17">
        <v>514281</v>
      </c>
    </row>
    <row r="94" spans="1:17" ht="15" customHeight="1" x14ac:dyDescent="0.35">
      <c r="A94" s="16">
        <v>46203</v>
      </c>
      <c r="B94" s="17">
        <v>21928364.690000001</v>
      </c>
      <c r="C94" s="17">
        <v>132049.25</v>
      </c>
      <c r="D94" s="17">
        <v>21796315.440000001</v>
      </c>
      <c r="E94" s="17">
        <v>2693966.8130000001</v>
      </c>
      <c r="F94" s="17">
        <v>4771513</v>
      </c>
      <c r="G94" s="17">
        <v>1083665.4069999999</v>
      </c>
      <c r="H94" s="17">
        <v>470265.79550000001</v>
      </c>
      <c r="I94" s="17">
        <v>3217581.91</v>
      </c>
      <c r="J94" s="17">
        <v>6153049.8119999999</v>
      </c>
      <c r="K94" s="17">
        <v>1387019.5859999999</v>
      </c>
      <c r="L94" s="17">
        <v>2110374</v>
      </c>
      <c r="M94" s="17">
        <v>7113585.5130000003</v>
      </c>
      <c r="N94" s="17">
        <v>3403805.5210000002</v>
      </c>
      <c r="O94" s="17">
        <v>298280.4008</v>
      </c>
      <c r="P94" s="17">
        <v>754369.99230000004</v>
      </c>
      <c r="Q94" s="17">
        <v>535544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F1" zoomScaleNormal="100" workbookViewId="0">
      <pane ySplit="4" topLeftCell="A5" activePane="bottomLeft" state="frozen"/>
      <selection pane="bottomLeft" activeCell="A2" sqref="A2"/>
    </sheetView>
  </sheetViews>
  <sheetFormatPr defaultColWidth="8.6328125" defaultRowHeight="14.5" x14ac:dyDescent="0.35"/>
  <cols>
    <col min="1" max="1" width="12" style="3" customWidth="1"/>
    <col min="2" max="2" width="14" style="3" customWidth="1"/>
    <col min="3" max="3" width="16" style="3" customWidth="1"/>
    <col min="4" max="4" width="18" style="3" customWidth="1"/>
    <col min="5" max="6" width="16" style="3" customWidth="1"/>
    <col min="7" max="7" width="20" style="3" customWidth="1"/>
  </cols>
  <sheetData>
    <row r="1" spans="1:7" ht="17.25" customHeight="1" x14ac:dyDescent="0.4">
      <c r="A1" s="14" t="s">
        <v>35</v>
      </c>
    </row>
    <row r="2" spans="1:7" ht="30" customHeight="1" x14ac:dyDescent="0.35">
      <c r="A2" s="15"/>
    </row>
    <row r="4" spans="1:7" ht="15" customHeight="1" x14ac:dyDescent="0.35">
      <c r="A4" s="6" t="s">
        <v>22</v>
      </c>
      <c r="B4" s="6" t="s">
        <v>36</v>
      </c>
      <c r="C4" s="6" t="s">
        <v>23</v>
      </c>
      <c r="D4" s="6" t="s">
        <v>37</v>
      </c>
      <c r="E4" s="6" t="s">
        <v>38</v>
      </c>
      <c r="F4" s="6" t="s">
        <v>39</v>
      </c>
      <c r="G4" s="6" t="s">
        <v>40</v>
      </c>
    </row>
    <row r="5" spans="1:7" ht="15" customHeight="1" x14ac:dyDescent="0.35">
      <c r="A5" s="18">
        <f>'Raw Data'!A5</f>
        <v>43483</v>
      </c>
      <c r="B5" s="7">
        <f t="shared" ref="B5:B36" si="0">ROW()-5</f>
        <v>0</v>
      </c>
      <c r="C5" s="19">
        <f>'Raw Data'!B5</f>
        <v>9332554.5500000007</v>
      </c>
      <c r="D5" s="20">
        <f t="shared" ref="D5:D36" si="1">LN(C5)</f>
        <v>16.04901933491854</v>
      </c>
    </row>
    <row r="6" spans="1:7" ht="15" customHeight="1" x14ac:dyDescent="0.35">
      <c r="A6" s="18">
        <f>'Raw Data'!A6</f>
        <v>43511</v>
      </c>
      <c r="B6" s="7">
        <f t="shared" si="0"/>
        <v>1</v>
      </c>
      <c r="C6" s="19">
        <f>'Raw Data'!B6</f>
        <v>9440365.932</v>
      </c>
      <c r="D6" s="20">
        <f t="shared" si="1"/>
        <v>16.06050530135343</v>
      </c>
      <c r="E6" s="21">
        <f t="shared" ref="E6:E37" si="2">(D6-D5)*100</f>
        <v>1.148596643488986</v>
      </c>
    </row>
    <row r="7" spans="1:7" ht="15" customHeight="1" x14ac:dyDescent="0.35">
      <c r="A7" s="18">
        <f>'Raw Data'!A7</f>
        <v>43553</v>
      </c>
      <c r="B7" s="7">
        <f t="shared" si="0"/>
        <v>2</v>
      </c>
      <c r="C7" s="19">
        <f>'Raw Data'!B7</f>
        <v>9771722.4352000002</v>
      </c>
      <c r="D7" s="20">
        <f t="shared" si="1"/>
        <v>16.095003306863035</v>
      </c>
      <c r="E7" s="21">
        <f t="shared" si="2"/>
        <v>3.4498005509604468</v>
      </c>
    </row>
    <row r="8" spans="1:7" ht="15" customHeight="1" x14ac:dyDescent="0.35">
      <c r="A8" s="18">
        <f>'Raw Data'!A8</f>
        <v>43581</v>
      </c>
      <c r="B8" s="7">
        <f t="shared" si="0"/>
        <v>3</v>
      </c>
      <c r="C8" s="19">
        <f>'Raw Data'!B8</f>
        <v>9620945.4914999995</v>
      </c>
      <c r="D8" s="20">
        <f t="shared" si="1"/>
        <v>16.079453101752048</v>
      </c>
      <c r="E8" s="21">
        <f t="shared" si="2"/>
        <v>-1.5550205110987037</v>
      </c>
    </row>
    <row r="9" spans="1:7" ht="15" customHeight="1" x14ac:dyDescent="0.35">
      <c r="A9" s="18">
        <f>'Raw Data'!A9</f>
        <v>43609</v>
      </c>
      <c r="B9" s="7">
        <f t="shared" si="0"/>
        <v>4</v>
      </c>
      <c r="C9" s="19">
        <f>'Raw Data'!B9</f>
        <v>9621544.9886000007</v>
      </c>
      <c r="D9" s="20">
        <f t="shared" si="1"/>
        <v>16.079515411472386</v>
      </c>
      <c r="E9" s="21">
        <f t="shared" si="2"/>
        <v>6.2309720338049601E-3</v>
      </c>
    </row>
    <row r="10" spans="1:7" ht="15" customHeight="1" x14ac:dyDescent="0.35">
      <c r="A10" s="18">
        <f>'Raw Data'!A10</f>
        <v>43637</v>
      </c>
      <c r="B10" s="7">
        <f t="shared" si="0"/>
        <v>5</v>
      </c>
      <c r="C10" s="19">
        <f>'Raw Data'!B10</f>
        <v>9648768.2612999994</v>
      </c>
      <c r="D10" s="20">
        <f t="shared" si="1"/>
        <v>16.08234082385226</v>
      </c>
      <c r="E10" s="21">
        <f t="shared" si="2"/>
        <v>0.28254123798738817</v>
      </c>
    </row>
    <row r="11" spans="1:7" ht="15" customHeight="1" x14ac:dyDescent="0.35">
      <c r="A11" s="18">
        <f>'Raw Data'!A11</f>
        <v>43665</v>
      </c>
      <c r="B11" s="7">
        <f t="shared" si="0"/>
        <v>6</v>
      </c>
      <c r="C11" s="19">
        <f>'Raw Data'!B11</f>
        <v>9658377.6834999993</v>
      </c>
      <c r="D11" s="20">
        <f t="shared" si="1"/>
        <v>16.083336250418252</v>
      </c>
      <c r="E11" s="21">
        <f t="shared" si="2"/>
        <v>9.9542656599282964E-2</v>
      </c>
    </row>
    <row r="12" spans="1:7" ht="15" customHeight="1" x14ac:dyDescent="0.35">
      <c r="A12" s="18">
        <f>'Raw Data'!A12</f>
        <v>43707</v>
      </c>
      <c r="B12" s="7">
        <f t="shared" si="0"/>
        <v>7</v>
      </c>
      <c r="C12" s="19">
        <f>'Raw Data'!B12</f>
        <v>9680153.4437000006</v>
      </c>
      <c r="D12" s="20">
        <f t="shared" si="1"/>
        <v>16.085588310749024</v>
      </c>
      <c r="E12" s="21">
        <f t="shared" si="2"/>
        <v>0.22520603307718545</v>
      </c>
    </row>
    <row r="13" spans="1:7" ht="15" customHeight="1" x14ac:dyDescent="0.35">
      <c r="A13" s="18">
        <f>'Raw Data'!A13</f>
        <v>43735</v>
      </c>
      <c r="B13" s="7">
        <f t="shared" si="0"/>
        <v>8</v>
      </c>
      <c r="C13" s="19">
        <f>'Raw Data'!B13</f>
        <v>9766853.8561899997</v>
      </c>
      <c r="D13" s="20">
        <f t="shared" si="1"/>
        <v>16.094504951298315</v>
      </c>
      <c r="E13" s="21">
        <f t="shared" si="2"/>
        <v>0.89166405492910883</v>
      </c>
    </row>
    <row r="14" spans="1:7" ht="15" customHeight="1" x14ac:dyDescent="0.35">
      <c r="A14" s="18">
        <f>'Raw Data'!A14</f>
        <v>43763</v>
      </c>
      <c r="B14" s="7">
        <f t="shared" si="0"/>
        <v>9</v>
      </c>
      <c r="C14" s="19">
        <f>'Raw Data'!B14</f>
        <v>9840562.3136999998</v>
      </c>
      <c r="D14" s="20">
        <f t="shared" si="1"/>
        <v>16.102023413096902</v>
      </c>
      <c r="E14" s="21">
        <f t="shared" si="2"/>
        <v>0.75184617985861735</v>
      </c>
    </row>
    <row r="15" spans="1:7" ht="15" customHeight="1" x14ac:dyDescent="0.35">
      <c r="A15" s="18">
        <f>'Raw Data'!A15</f>
        <v>43791</v>
      </c>
      <c r="B15" s="7">
        <f t="shared" si="0"/>
        <v>10</v>
      </c>
      <c r="C15" s="19">
        <f>'Raw Data'!B15</f>
        <v>9860302.6499600001</v>
      </c>
      <c r="D15" s="20">
        <f t="shared" si="1"/>
        <v>16.104027420829855</v>
      </c>
      <c r="E15" s="21">
        <f t="shared" si="2"/>
        <v>0.20040077329532835</v>
      </c>
    </row>
    <row r="16" spans="1:7" ht="15" customHeight="1" x14ac:dyDescent="0.35">
      <c r="A16" s="18">
        <f>'Raw Data'!A16</f>
        <v>43819</v>
      </c>
      <c r="B16" s="7">
        <f t="shared" si="0"/>
        <v>11</v>
      </c>
      <c r="C16" s="19">
        <f>'Raw Data'!B16</f>
        <v>10036091.7838</v>
      </c>
      <c r="D16" s="20">
        <f t="shared" si="1"/>
        <v>16.121698331882989</v>
      </c>
      <c r="E16" s="21">
        <f t="shared" si="2"/>
        <v>1.767091105313412</v>
      </c>
    </row>
    <row r="17" spans="1:7" ht="15" customHeight="1" x14ac:dyDescent="0.35">
      <c r="A17" s="18">
        <f>'Raw Data'!A17</f>
        <v>43861</v>
      </c>
      <c r="B17" s="7">
        <f t="shared" si="0"/>
        <v>12</v>
      </c>
      <c r="C17" s="19">
        <f>'Raw Data'!B17</f>
        <v>10105176.35551</v>
      </c>
      <c r="D17" s="20">
        <f t="shared" si="1"/>
        <v>16.1285583609694</v>
      </c>
      <c r="E17" s="21">
        <f t="shared" si="2"/>
        <v>0.68600290864111457</v>
      </c>
      <c r="F17" s="21">
        <f t="shared" ref="F17:F48" si="3">(D17-D5)*100</f>
        <v>7.9539026050859718</v>
      </c>
      <c r="G17" s="22">
        <f t="shared" ref="G17:G48" si="4">STDEV(E6:E17)</f>
        <v>1.1870759887578242</v>
      </c>
    </row>
    <row r="18" spans="1:7" ht="15" customHeight="1" x14ac:dyDescent="0.35">
      <c r="A18" s="18">
        <f>'Raw Data'!A18</f>
        <v>43889</v>
      </c>
      <c r="B18" s="7">
        <f t="shared" si="0"/>
        <v>13</v>
      </c>
      <c r="C18" s="19">
        <f>'Raw Data'!B18</f>
        <v>10104866.31986</v>
      </c>
      <c r="D18" s="20">
        <f t="shared" si="1"/>
        <v>16.128527679623989</v>
      </c>
      <c r="E18" s="21">
        <f t="shared" si="2"/>
        <v>-3.0681345410954464E-3</v>
      </c>
      <c r="F18" s="21">
        <f t="shared" si="3"/>
        <v>6.8022378270558903</v>
      </c>
      <c r="G18" s="22">
        <f t="shared" si="4"/>
        <v>1.1907810982801736</v>
      </c>
    </row>
    <row r="19" spans="1:7" ht="15" customHeight="1" x14ac:dyDescent="0.35">
      <c r="A19" s="18">
        <f>'Raw Data'!A19</f>
        <v>43917</v>
      </c>
      <c r="B19" s="7">
        <f t="shared" si="0"/>
        <v>14</v>
      </c>
      <c r="C19" s="19">
        <f>'Raw Data'!B19</f>
        <v>10370860.683119999</v>
      </c>
      <c r="D19" s="20">
        <f t="shared" si="1"/>
        <v>16.154510574169525</v>
      </c>
      <c r="E19" s="21">
        <f t="shared" si="2"/>
        <v>2.5982894545535373</v>
      </c>
      <c r="F19" s="21">
        <f t="shared" si="3"/>
        <v>5.9507267306489808</v>
      </c>
      <c r="G19" s="22">
        <f t="shared" si="4"/>
        <v>1.0158955303850388</v>
      </c>
    </row>
    <row r="20" spans="1:7" ht="15" customHeight="1" x14ac:dyDescent="0.35">
      <c r="A20" s="18">
        <f>'Raw Data'!A20</f>
        <v>43945</v>
      </c>
      <c r="B20" s="7">
        <f t="shared" si="0"/>
        <v>15</v>
      </c>
      <c r="C20" s="19">
        <f>'Raw Data'!B20</f>
        <v>10273415.78664</v>
      </c>
      <c r="D20" s="20">
        <f t="shared" si="1"/>
        <v>16.1450701251105</v>
      </c>
      <c r="E20" s="21">
        <f t="shared" si="2"/>
        <v>-0.94404490590243029</v>
      </c>
      <c r="F20" s="21">
        <f t="shared" si="3"/>
        <v>6.5617023358452542</v>
      </c>
      <c r="G20" s="22">
        <f t="shared" si="4"/>
        <v>0.91395977961007591</v>
      </c>
    </row>
    <row r="21" spans="1:7" ht="15" customHeight="1" x14ac:dyDescent="0.35">
      <c r="A21" s="18">
        <f>'Raw Data'!A21</f>
        <v>43973</v>
      </c>
      <c r="B21" s="7">
        <f t="shared" si="0"/>
        <v>16</v>
      </c>
      <c r="C21" s="19">
        <f>'Raw Data'!B21</f>
        <v>10222753.1829</v>
      </c>
      <c r="D21" s="20">
        <f t="shared" si="1"/>
        <v>16.140126498133601</v>
      </c>
      <c r="E21" s="21">
        <f t="shared" si="2"/>
        <v>-0.4943626976899651</v>
      </c>
      <c r="F21" s="21">
        <f t="shared" si="3"/>
        <v>6.0611086661214841</v>
      </c>
      <c r="G21" s="22">
        <f t="shared" si="4"/>
        <v>0.95152881092341968</v>
      </c>
    </row>
    <row r="22" spans="1:7" ht="15" customHeight="1" x14ac:dyDescent="0.35">
      <c r="A22" s="18">
        <f>'Raw Data'!A22</f>
        <v>44001</v>
      </c>
      <c r="B22" s="7">
        <f t="shared" si="0"/>
        <v>17</v>
      </c>
      <c r="C22" s="19">
        <f>'Raw Data'!B22</f>
        <v>10245677.47013</v>
      </c>
      <c r="D22" s="20">
        <f t="shared" si="1"/>
        <v>16.142366464372707</v>
      </c>
      <c r="E22" s="21">
        <f t="shared" si="2"/>
        <v>0.22399662391059394</v>
      </c>
      <c r="F22" s="21">
        <f t="shared" si="3"/>
        <v>6.0025640520446899</v>
      </c>
      <c r="G22" s="22">
        <f t="shared" si="4"/>
        <v>0.95292268358758558</v>
      </c>
    </row>
    <row r="23" spans="1:7" ht="15" customHeight="1" x14ac:dyDescent="0.35">
      <c r="A23" s="18">
        <f>'Raw Data'!A23</f>
        <v>44043</v>
      </c>
      <c r="B23" s="7">
        <f t="shared" si="0"/>
        <v>18</v>
      </c>
      <c r="C23" s="19">
        <f>'Raw Data'!B23</f>
        <v>10282056.887979999</v>
      </c>
      <c r="D23" s="20">
        <f t="shared" si="1"/>
        <v>16.145910884356059</v>
      </c>
      <c r="E23" s="21">
        <f t="shared" si="2"/>
        <v>0.35444199833527534</v>
      </c>
      <c r="F23" s="21">
        <f t="shared" si="3"/>
        <v>6.2574633937806823</v>
      </c>
      <c r="G23" s="22">
        <f t="shared" si="4"/>
        <v>0.9459951804487059</v>
      </c>
    </row>
    <row r="24" spans="1:7" ht="15" customHeight="1" x14ac:dyDescent="0.35">
      <c r="A24" s="18">
        <f>'Raw Data'!A24</f>
        <v>44071</v>
      </c>
      <c r="B24" s="7">
        <f t="shared" si="0"/>
        <v>19</v>
      </c>
      <c r="C24" s="19">
        <f>'Raw Data'!B24</f>
        <v>10216158.03843</v>
      </c>
      <c r="D24" s="20">
        <f t="shared" si="1"/>
        <v>16.139481146272391</v>
      </c>
      <c r="E24" s="21">
        <f t="shared" si="2"/>
        <v>-0.64297380836677576</v>
      </c>
      <c r="F24" s="21">
        <f t="shared" si="3"/>
        <v>5.3892835523367211</v>
      </c>
      <c r="G24" s="22">
        <f t="shared" si="4"/>
        <v>1.0022382148826816</v>
      </c>
    </row>
    <row r="25" spans="1:7" ht="15" customHeight="1" x14ac:dyDescent="0.35">
      <c r="A25" s="18">
        <f>'Raw Data'!A25</f>
        <v>44099</v>
      </c>
      <c r="B25" s="7">
        <f t="shared" si="0"/>
        <v>20</v>
      </c>
      <c r="C25" s="19">
        <f>'Raw Data'!B25</f>
        <v>10271581.007929999</v>
      </c>
      <c r="D25" s="20">
        <f t="shared" si="1"/>
        <v>16.144891514353514</v>
      </c>
      <c r="E25" s="21">
        <f t="shared" si="2"/>
        <v>0.54103680811223853</v>
      </c>
      <c r="F25" s="21">
        <f t="shared" si="3"/>
        <v>5.0386563055198508</v>
      </c>
      <c r="G25" s="22">
        <f t="shared" si="4"/>
        <v>0.99323370838330938</v>
      </c>
    </row>
    <row r="26" spans="1:7" ht="15" customHeight="1" x14ac:dyDescent="0.35">
      <c r="A26" s="18">
        <f>'Raw Data'!A26</f>
        <v>44127</v>
      </c>
      <c r="B26" s="7">
        <f t="shared" si="0"/>
        <v>21</v>
      </c>
      <c r="C26" s="19">
        <f>'Raw Data'!B26</f>
        <v>10338867.87781</v>
      </c>
      <c r="D26" s="20">
        <f t="shared" si="1"/>
        <v>16.151420931476636</v>
      </c>
      <c r="E26" s="21">
        <f t="shared" si="2"/>
        <v>0.6529417123122272</v>
      </c>
      <c r="F26" s="21">
        <f t="shared" si="3"/>
        <v>4.9397518379734606</v>
      </c>
      <c r="G26" s="22">
        <f t="shared" si="4"/>
        <v>0.99063560057378841</v>
      </c>
    </row>
    <row r="27" spans="1:7" ht="15" customHeight="1" x14ac:dyDescent="0.35">
      <c r="A27" s="18">
        <f>'Raw Data'!A27</f>
        <v>44155</v>
      </c>
      <c r="B27" s="7">
        <f t="shared" si="0"/>
        <v>22</v>
      </c>
      <c r="C27" s="19">
        <f>'Raw Data'!B27</f>
        <v>10434880.34296</v>
      </c>
      <c r="D27" s="20">
        <f t="shared" si="1"/>
        <v>16.160664631533585</v>
      </c>
      <c r="E27" s="21">
        <f t="shared" si="2"/>
        <v>0.92437000569489669</v>
      </c>
      <c r="F27" s="21">
        <f t="shared" si="3"/>
        <v>5.663721070373029</v>
      </c>
      <c r="G27" s="22">
        <f t="shared" si="4"/>
        <v>0.99861411162663305</v>
      </c>
    </row>
    <row r="28" spans="1:7" ht="15" customHeight="1" x14ac:dyDescent="0.35">
      <c r="A28" s="18">
        <f>'Raw Data'!A28</f>
        <v>44183</v>
      </c>
      <c r="B28" s="7">
        <f t="shared" si="0"/>
        <v>23</v>
      </c>
      <c r="C28" s="19">
        <f>'Raw Data'!B28</f>
        <v>10702596.470690001</v>
      </c>
      <c r="D28" s="20">
        <f t="shared" si="1"/>
        <v>16.185996930806912</v>
      </c>
      <c r="E28" s="21">
        <f t="shared" si="2"/>
        <v>2.5332299273326697</v>
      </c>
      <c r="F28" s="21">
        <f t="shared" si="3"/>
        <v>6.4298598923922867</v>
      </c>
      <c r="G28" s="22">
        <f t="shared" si="4"/>
        <v>1.1074976291455776</v>
      </c>
    </row>
    <row r="29" spans="1:7" ht="15" customHeight="1" x14ac:dyDescent="0.35">
      <c r="A29" s="18">
        <f>'Raw Data'!A29</f>
        <v>44225</v>
      </c>
      <c r="B29" s="7">
        <f t="shared" si="0"/>
        <v>24</v>
      </c>
      <c r="C29" s="19">
        <f>'Raw Data'!B29</f>
        <v>10703751.83006</v>
      </c>
      <c r="D29" s="20">
        <f t="shared" si="1"/>
        <v>16.186104876296248</v>
      </c>
      <c r="E29" s="21">
        <f t="shared" si="2"/>
        <v>1.0794548933645842E-2</v>
      </c>
      <c r="F29" s="21">
        <f t="shared" si="3"/>
        <v>5.754651532684818</v>
      </c>
      <c r="G29" s="22">
        <f t="shared" si="4"/>
        <v>1.1162912558562912</v>
      </c>
    </row>
    <row r="30" spans="1:7" ht="15" customHeight="1" x14ac:dyDescent="0.35">
      <c r="A30" s="18">
        <f>'Raw Data'!A30</f>
        <v>44253</v>
      </c>
      <c r="B30" s="7">
        <f t="shared" si="0"/>
        <v>25</v>
      </c>
      <c r="C30" s="19">
        <f>'Raw Data'!B30</f>
        <v>10774742.46194</v>
      </c>
      <c r="D30" s="20">
        <f t="shared" si="1"/>
        <v>16.192715292224356</v>
      </c>
      <c r="E30" s="21">
        <f t="shared" si="2"/>
        <v>0.6610415928108182</v>
      </c>
      <c r="F30" s="21">
        <f t="shared" si="3"/>
        <v>6.4187612600367316</v>
      </c>
      <c r="G30" s="22">
        <f t="shared" si="4"/>
        <v>1.1066093833292849</v>
      </c>
    </row>
    <row r="31" spans="1:7" ht="15" customHeight="1" x14ac:dyDescent="0.35">
      <c r="A31" s="18">
        <f>'Raw Data'!A31</f>
        <v>44281</v>
      </c>
      <c r="B31" s="7">
        <f t="shared" si="0"/>
        <v>26</v>
      </c>
      <c r="C31" s="19">
        <f>'Raw Data'!B31</f>
        <v>10949509</v>
      </c>
      <c r="D31" s="20">
        <f t="shared" si="1"/>
        <v>16.208805173038783</v>
      </c>
      <c r="E31" s="21">
        <f t="shared" si="2"/>
        <v>1.6089880814426749</v>
      </c>
      <c r="F31" s="21">
        <f t="shared" si="3"/>
        <v>5.4294598869258692</v>
      </c>
      <c r="G31" s="22">
        <f t="shared" si="4"/>
        <v>0.96695165859761001</v>
      </c>
    </row>
    <row r="32" spans="1:7" ht="15" customHeight="1" x14ac:dyDescent="0.35">
      <c r="A32" s="18">
        <f>'Raw Data'!A32</f>
        <v>44309</v>
      </c>
      <c r="B32" s="7">
        <f t="shared" si="0"/>
        <v>27</v>
      </c>
      <c r="C32" s="19">
        <f>'Raw Data'!B32</f>
        <v>10860485.37617</v>
      </c>
      <c r="D32" s="20">
        <f t="shared" si="1"/>
        <v>16.200641565409626</v>
      </c>
      <c r="E32" s="21">
        <f t="shared" si="2"/>
        <v>-0.81636076291573545</v>
      </c>
      <c r="F32" s="21">
        <f t="shared" si="3"/>
        <v>5.5571440299125641</v>
      </c>
      <c r="G32" s="22">
        <f t="shared" si="4"/>
        <v>0.95075441159263374</v>
      </c>
    </row>
    <row r="33" spans="1:7" ht="15" customHeight="1" x14ac:dyDescent="0.35">
      <c r="A33" s="18">
        <f>'Raw Data'!A33</f>
        <v>44337</v>
      </c>
      <c r="B33" s="7">
        <f t="shared" si="0"/>
        <v>28</v>
      </c>
      <c r="C33" s="19">
        <f>'Raw Data'!B33</f>
        <v>10831221.47883</v>
      </c>
      <c r="D33" s="20">
        <f t="shared" si="1"/>
        <v>16.197943399212811</v>
      </c>
      <c r="E33" s="21">
        <f t="shared" si="2"/>
        <v>-0.26981661968150661</v>
      </c>
      <c r="F33" s="21">
        <f t="shared" si="3"/>
        <v>5.7816901079210226</v>
      </c>
      <c r="G33" s="22">
        <f t="shared" si="4"/>
        <v>0.93222635596322534</v>
      </c>
    </row>
    <row r="34" spans="1:7" ht="15" customHeight="1" x14ac:dyDescent="0.35">
      <c r="A34" s="18">
        <f>'Raw Data'!A34</f>
        <v>44365</v>
      </c>
      <c r="B34" s="7">
        <f t="shared" si="0"/>
        <v>29</v>
      </c>
      <c r="C34" s="19">
        <f>'Raw Data'!B34</f>
        <v>10928555</v>
      </c>
      <c r="D34" s="20">
        <f t="shared" si="1"/>
        <v>16.206889646472348</v>
      </c>
      <c r="E34" s="21">
        <f t="shared" si="2"/>
        <v>0.89462472595371878</v>
      </c>
      <c r="F34" s="21">
        <f t="shared" si="3"/>
        <v>6.4523182099641474</v>
      </c>
      <c r="G34" s="22">
        <f t="shared" si="4"/>
        <v>0.93546191138428036</v>
      </c>
    </row>
    <row r="35" spans="1:7" ht="15" customHeight="1" x14ac:dyDescent="0.35">
      <c r="A35" s="18">
        <f>'Raw Data'!A35</f>
        <v>44407</v>
      </c>
      <c r="B35" s="7">
        <f t="shared" si="0"/>
        <v>30</v>
      </c>
      <c r="C35" s="19">
        <f>'Raw Data'!B35</f>
        <v>10910566.779610001</v>
      </c>
      <c r="D35" s="20">
        <f t="shared" si="1"/>
        <v>16.205242306928252</v>
      </c>
      <c r="E35" s="21">
        <f t="shared" si="2"/>
        <v>-0.16473395440961269</v>
      </c>
      <c r="F35" s="21">
        <f t="shared" si="3"/>
        <v>5.9331422572192594</v>
      </c>
      <c r="G35" s="22">
        <f t="shared" si="4"/>
        <v>0.9564774283114631</v>
      </c>
    </row>
    <row r="36" spans="1:7" ht="15" customHeight="1" x14ac:dyDescent="0.35">
      <c r="A36" s="18">
        <f>'Raw Data'!A36</f>
        <v>44435</v>
      </c>
      <c r="B36" s="7">
        <f t="shared" si="0"/>
        <v>31</v>
      </c>
      <c r="C36" s="19">
        <f>'Raw Data'!B36</f>
        <v>10897601.02207</v>
      </c>
      <c r="D36" s="20">
        <f t="shared" si="1"/>
        <v>16.204053233257728</v>
      </c>
      <c r="E36" s="21">
        <f t="shared" si="2"/>
        <v>-0.11890736705240101</v>
      </c>
      <c r="F36" s="21">
        <f t="shared" si="3"/>
        <v>6.4572086985336341</v>
      </c>
      <c r="G36" s="22">
        <f t="shared" si="4"/>
        <v>0.91069152024900768</v>
      </c>
    </row>
    <row r="37" spans="1:7" ht="15" customHeight="1" x14ac:dyDescent="0.35">
      <c r="A37" s="18">
        <f>'Raw Data'!A37</f>
        <v>44463</v>
      </c>
      <c r="B37" s="7">
        <f t="shared" ref="B37:B68" si="5">ROW()-5</f>
        <v>32</v>
      </c>
      <c r="C37" s="19">
        <f>'Raw Data'!B37</f>
        <v>10956816.87652</v>
      </c>
      <c r="D37" s="20">
        <f t="shared" ref="D37:D68" si="6">LN(C37)</f>
        <v>16.209472366326448</v>
      </c>
      <c r="E37" s="21">
        <f t="shared" si="2"/>
        <v>0.54191330687203276</v>
      </c>
      <c r="F37" s="21">
        <f t="shared" si="3"/>
        <v>6.4580851972934283</v>
      </c>
      <c r="G37" s="22">
        <f t="shared" si="4"/>
        <v>0.91069181229355922</v>
      </c>
    </row>
    <row r="38" spans="1:7" ht="15" customHeight="1" x14ac:dyDescent="0.35">
      <c r="A38" s="18">
        <f>'Raw Data'!A38</f>
        <v>44491</v>
      </c>
      <c r="B38" s="7">
        <f t="shared" si="5"/>
        <v>33</v>
      </c>
      <c r="C38" s="19">
        <f>'Raw Data'!B38</f>
        <v>11044619.142589999</v>
      </c>
      <c r="D38" s="20">
        <f t="shared" si="6"/>
        <v>16.217453911905022</v>
      </c>
      <c r="E38" s="21">
        <f t="shared" ref="E38:E69" si="7">(D38-D37)*100</f>
        <v>0.79815455785734457</v>
      </c>
      <c r="F38" s="21">
        <f t="shared" si="3"/>
        <v>6.6032980428385457</v>
      </c>
      <c r="G38" s="22">
        <f t="shared" si="4"/>
        <v>0.91331645647725113</v>
      </c>
    </row>
    <row r="39" spans="1:7" ht="15" customHeight="1" x14ac:dyDescent="0.35">
      <c r="A39" s="18">
        <f>'Raw Data'!A39</f>
        <v>44519</v>
      </c>
      <c r="B39" s="7">
        <f t="shared" si="5"/>
        <v>34</v>
      </c>
      <c r="C39" s="19">
        <f>'Raw Data'!B39</f>
        <v>11162193.47978</v>
      </c>
      <c r="D39" s="20">
        <f t="shared" si="6"/>
        <v>16.228043043971724</v>
      </c>
      <c r="E39" s="21">
        <f t="shared" si="7"/>
        <v>1.0589132066701978</v>
      </c>
      <c r="F39" s="21">
        <f t="shared" si="3"/>
        <v>6.7378412438138469</v>
      </c>
      <c r="G39" s="22">
        <f t="shared" si="4"/>
        <v>0.9191336708043466</v>
      </c>
    </row>
    <row r="40" spans="1:7" ht="15" customHeight="1" x14ac:dyDescent="0.35">
      <c r="A40" s="18">
        <f>'Raw Data'!A40</f>
        <v>44561</v>
      </c>
      <c r="B40" s="7">
        <f t="shared" si="5"/>
        <v>35</v>
      </c>
      <c r="C40" s="19">
        <f>'Raw Data'!B40</f>
        <v>11582087.1494</v>
      </c>
      <c r="D40" s="20">
        <f t="shared" si="6"/>
        <v>16.264970251294908</v>
      </c>
      <c r="E40" s="21">
        <f t="shared" si="7"/>
        <v>3.6927207323184774</v>
      </c>
      <c r="F40" s="21">
        <f t="shared" si="3"/>
        <v>7.8973320487996546</v>
      </c>
      <c r="G40" s="22">
        <f t="shared" si="4"/>
        <v>1.1715449741047037</v>
      </c>
    </row>
    <row r="41" spans="1:7" ht="15" customHeight="1" x14ac:dyDescent="0.35">
      <c r="A41" s="18">
        <f>'Raw Data'!A41</f>
        <v>44589</v>
      </c>
      <c r="B41" s="7">
        <f t="shared" si="5"/>
        <v>36</v>
      </c>
      <c r="C41" s="19">
        <f>'Raw Data'!B41</f>
        <v>11468976.862260001</v>
      </c>
      <c r="D41" s="20">
        <f t="shared" si="6"/>
        <v>16.255156283928983</v>
      </c>
      <c r="E41" s="21">
        <f t="shared" si="7"/>
        <v>-0.98139673659254356</v>
      </c>
      <c r="F41" s="21">
        <f t="shared" si="3"/>
        <v>6.9051407632734652</v>
      </c>
      <c r="G41" s="22">
        <f t="shared" si="4"/>
        <v>1.2535268052465975</v>
      </c>
    </row>
    <row r="42" spans="1:7" ht="15" customHeight="1" x14ac:dyDescent="0.35">
      <c r="A42" s="18">
        <f>'Raw Data'!A42</f>
        <v>44617</v>
      </c>
      <c r="B42" s="7">
        <f t="shared" si="5"/>
        <v>37</v>
      </c>
      <c r="C42" s="19">
        <f>'Raw Data'!B42</f>
        <v>11643716.860269999</v>
      </c>
      <c r="D42" s="20">
        <f t="shared" si="6"/>
        <v>16.270277267189069</v>
      </c>
      <c r="E42" s="21">
        <f t="shared" si="7"/>
        <v>1.5120983260086263</v>
      </c>
      <c r="F42" s="21">
        <f t="shared" si="3"/>
        <v>7.7561974964712732</v>
      </c>
      <c r="G42" s="22">
        <f t="shared" si="4"/>
        <v>1.2825502567733831</v>
      </c>
    </row>
    <row r="43" spans="1:7" ht="15" customHeight="1" x14ac:dyDescent="0.35">
      <c r="A43" s="18">
        <f>'Raw Data'!A43</f>
        <v>44645</v>
      </c>
      <c r="B43" s="7">
        <f t="shared" si="5"/>
        <v>38</v>
      </c>
      <c r="C43" s="19">
        <f>'Raw Data'!B43</f>
        <v>11891314.26997</v>
      </c>
      <c r="D43" s="20">
        <f t="shared" si="6"/>
        <v>16.291318798300139</v>
      </c>
      <c r="E43" s="21">
        <f t="shared" si="7"/>
        <v>2.10415311110701</v>
      </c>
      <c r="F43" s="21">
        <f t="shared" si="3"/>
        <v>8.2513625261356083</v>
      </c>
      <c r="G43" s="22">
        <f t="shared" si="4"/>
        <v>1.3236441586821428</v>
      </c>
    </row>
    <row r="44" spans="1:7" ht="15" customHeight="1" x14ac:dyDescent="0.35">
      <c r="A44" s="18">
        <f>'Raw Data'!A44</f>
        <v>44673</v>
      </c>
      <c r="B44" s="7">
        <f t="shared" si="5"/>
        <v>39</v>
      </c>
      <c r="C44" s="19">
        <f>'Raw Data'!B44</f>
        <v>11956336.16382</v>
      </c>
      <c r="D44" s="20">
        <f t="shared" si="6"/>
        <v>16.2967719187371</v>
      </c>
      <c r="E44" s="21">
        <f t="shared" si="7"/>
        <v>0.54531204369610009</v>
      </c>
      <c r="F44" s="21">
        <f t="shared" si="3"/>
        <v>9.6130353327474438</v>
      </c>
      <c r="G44" s="22">
        <f t="shared" si="4"/>
        <v>1.2386271987557962</v>
      </c>
    </row>
    <row r="45" spans="1:7" ht="15" customHeight="1" x14ac:dyDescent="0.35">
      <c r="A45" s="18">
        <f>'Raw Data'!A45</f>
        <v>44701</v>
      </c>
      <c r="B45" s="7">
        <f t="shared" si="5"/>
        <v>40</v>
      </c>
      <c r="C45" s="19">
        <f>'Raw Data'!B45</f>
        <v>12143120.669749999</v>
      </c>
      <c r="D45" s="20">
        <f t="shared" si="6"/>
        <v>16.312273367378495</v>
      </c>
      <c r="E45" s="21">
        <f t="shared" si="7"/>
        <v>1.5501448641394688</v>
      </c>
      <c r="F45" s="21">
        <f t="shared" si="3"/>
        <v>11.432996816568419</v>
      </c>
      <c r="G45" s="22">
        <f t="shared" si="4"/>
        <v>1.2065881579686188</v>
      </c>
    </row>
    <row r="46" spans="1:7" ht="15" customHeight="1" x14ac:dyDescent="0.35">
      <c r="A46" s="18">
        <f>'Raw Data'!A46</f>
        <v>44729</v>
      </c>
      <c r="B46" s="7">
        <f t="shared" si="5"/>
        <v>41</v>
      </c>
      <c r="C46" s="19">
        <f>'Raw Data'!B46</f>
        <v>12382791.6209</v>
      </c>
      <c r="D46" s="20">
        <f t="shared" si="6"/>
        <v>16.331818294219097</v>
      </c>
      <c r="E46" s="21">
        <f t="shared" si="7"/>
        <v>1.9544926840602272</v>
      </c>
      <c r="F46" s="21">
        <f t="shared" si="3"/>
        <v>12.492864774674928</v>
      </c>
      <c r="G46" s="22">
        <f t="shared" si="4"/>
        <v>1.240267757930722</v>
      </c>
    </row>
    <row r="47" spans="1:7" ht="15" customHeight="1" x14ac:dyDescent="0.35">
      <c r="A47" s="18">
        <f>'Raw Data'!A47</f>
        <v>44771</v>
      </c>
      <c r="B47" s="7">
        <f t="shared" si="5"/>
        <v>42</v>
      </c>
      <c r="C47" s="19">
        <f>'Raw Data'!B47</f>
        <v>12369350.004070001</v>
      </c>
      <c r="D47" s="20">
        <f t="shared" si="6"/>
        <v>16.330732196833669</v>
      </c>
      <c r="E47" s="21">
        <f t="shared" si="7"/>
        <v>-0.10860973854285305</v>
      </c>
      <c r="F47" s="21">
        <f t="shared" si="3"/>
        <v>12.548988990541687</v>
      </c>
      <c r="G47" s="22">
        <f t="shared" si="4"/>
        <v>1.2354036081019022</v>
      </c>
    </row>
    <row r="48" spans="1:7" ht="15" customHeight="1" x14ac:dyDescent="0.35">
      <c r="A48" s="18">
        <f>'Raw Data'!A48</f>
        <v>44799</v>
      </c>
      <c r="B48" s="7">
        <f t="shared" si="5"/>
        <v>43</v>
      </c>
      <c r="C48" s="19">
        <f>'Raw Data'!B48</f>
        <v>12458657.89222</v>
      </c>
      <c r="D48" s="20">
        <f t="shared" si="6"/>
        <v>16.33792635221711</v>
      </c>
      <c r="E48" s="21">
        <f t="shared" si="7"/>
        <v>0.71941553834413696</v>
      </c>
      <c r="F48" s="21">
        <f t="shared" si="3"/>
        <v>13.387311895938225</v>
      </c>
      <c r="G48" s="22">
        <f t="shared" si="4"/>
        <v>1.1862832070019103</v>
      </c>
    </row>
    <row r="49" spans="1:7" ht="15" customHeight="1" x14ac:dyDescent="0.35">
      <c r="A49" s="18">
        <f>'Raw Data'!A49</f>
        <v>44827</v>
      </c>
      <c r="B49" s="7">
        <f t="shared" si="5"/>
        <v>44</v>
      </c>
      <c r="C49" s="19">
        <f>'Raw Data'!B49</f>
        <v>12629874.7859</v>
      </c>
      <c r="D49" s="20">
        <f t="shared" si="6"/>
        <v>16.351575580255361</v>
      </c>
      <c r="E49" s="21">
        <f t="shared" si="7"/>
        <v>1.3649228038250527</v>
      </c>
      <c r="F49" s="21">
        <f t="shared" ref="F49:F80" si="8">(D49-D37)*100</f>
        <v>14.210321392891245</v>
      </c>
      <c r="G49" s="22">
        <f t="shared" ref="G49:G80" si="9">STDEV(E38:E49)</f>
        <v>1.1738255648411458</v>
      </c>
    </row>
    <row r="50" spans="1:7" ht="15" customHeight="1" x14ac:dyDescent="0.35">
      <c r="A50" s="18">
        <f>'Raw Data'!A50</f>
        <v>44855</v>
      </c>
      <c r="B50" s="7">
        <f t="shared" si="5"/>
        <v>45</v>
      </c>
      <c r="C50" s="19">
        <f>'Raw Data'!B50</f>
        <v>12883403.90972</v>
      </c>
      <c r="D50" s="20">
        <f t="shared" si="6"/>
        <v>16.371450522429985</v>
      </c>
      <c r="E50" s="21">
        <f t="shared" si="7"/>
        <v>1.9874942174624266</v>
      </c>
      <c r="F50" s="21">
        <f t="shared" si="8"/>
        <v>15.399661052496327</v>
      </c>
      <c r="G50" s="22">
        <f t="shared" si="9"/>
        <v>1.1883877435580898</v>
      </c>
    </row>
    <row r="51" spans="1:7" ht="15" customHeight="1" x14ac:dyDescent="0.35">
      <c r="A51" s="18">
        <f>'Raw Data'!A51</f>
        <v>44883</v>
      </c>
      <c r="B51" s="7">
        <f t="shared" si="5"/>
        <v>46</v>
      </c>
      <c r="C51" s="19">
        <f>'Raw Data'!B51</f>
        <v>12947813.299459999</v>
      </c>
      <c r="D51" s="20">
        <f t="shared" si="6"/>
        <v>16.376437474667284</v>
      </c>
      <c r="E51" s="21">
        <f t="shared" si="7"/>
        <v>0.49869522372993913</v>
      </c>
      <c r="F51" s="21">
        <f t="shared" si="8"/>
        <v>14.839443069556069</v>
      </c>
      <c r="G51" s="22">
        <f t="shared" si="9"/>
        <v>1.20883215465621</v>
      </c>
    </row>
    <row r="52" spans="1:7" ht="15" customHeight="1" x14ac:dyDescent="0.35">
      <c r="A52" s="18">
        <f>'Raw Data'!A52</f>
        <v>44925</v>
      </c>
      <c r="B52" s="7">
        <f t="shared" si="5"/>
        <v>47</v>
      </c>
      <c r="C52" s="19">
        <f>'Raw Data'!B52</f>
        <v>13306853.04999</v>
      </c>
      <c r="D52" s="20">
        <f t="shared" si="6"/>
        <v>16.40378972740411</v>
      </c>
      <c r="E52" s="21">
        <f t="shared" si="7"/>
        <v>2.7352252736825733</v>
      </c>
      <c r="F52" s="21">
        <f t="shared" si="8"/>
        <v>13.881947610920164</v>
      </c>
      <c r="G52" s="22">
        <f t="shared" si="9"/>
        <v>1.0536091483429282</v>
      </c>
    </row>
    <row r="53" spans="1:7" ht="15" customHeight="1" x14ac:dyDescent="0.35">
      <c r="A53" s="18">
        <f>'Raw Data'!A53</f>
        <v>44953</v>
      </c>
      <c r="B53" s="7">
        <f t="shared" si="5"/>
        <v>48</v>
      </c>
      <c r="C53" s="19">
        <f>'Raw Data'!B53</f>
        <v>13337536.22291</v>
      </c>
      <c r="D53" s="20">
        <f t="shared" si="6"/>
        <v>16.406092890457998</v>
      </c>
      <c r="E53" s="21">
        <f t="shared" si="7"/>
        <v>0.23031630538881132</v>
      </c>
      <c r="F53" s="21">
        <f t="shared" si="8"/>
        <v>15.093660652901519</v>
      </c>
      <c r="G53" s="22">
        <f t="shared" si="9"/>
        <v>0.87256555482164133</v>
      </c>
    </row>
    <row r="54" spans="1:7" ht="15" customHeight="1" x14ac:dyDescent="0.35">
      <c r="A54" s="18">
        <f>'Raw Data'!A54</f>
        <v>44981</v>
      </c>
      <c r="B54" s="7">
        <f t="shared" si="5"/>
        <v>49</v>
      </c>
      <c r="C54" s="19">
        <f>'Raw Data'!B54</f>
        <v>13450268.705229999</v>
      </c>
      <c r="D54" s="20">
        <f t="shared" si="6"/>
        <v>16.414509641896579</v>
      </c>
      <c r="E54" s="21">
        <f t="shared" si="7"/>
        <v>0.8416751438581116</v>
      </c>
      <c r="F54" s="21">
        <f t="shared" si="8"/>
        <v>14.423237470751005</v>
      </c>
      <c r="G54" s="22">
        <f t="shared" si="9"/>
        <v>0.87625860405318723</v>
      </c>
    </row>
    <row r="55" spans="1:7" ht="15" customHeight="1" x14ac:dyDescent="0.35">
      <c r="A55" s="18">
        <f>'Raw Data'!A55</f>
        <v>45009</v>
      </c>
      <c r="B55" s="7">
        <f t="shared" si="5"/>
        <v>50</v>
      </c>
      <c r="C55" s="19">
        <f>'Raw Data'!B55</f>
        <v>13675235.32622</v>
      </c>
      <c r="D55" s="20">
        <f t="shared" si="6"/>
        <v>16.431097114622975</v>
      </c>
      <c r="E55" s="21">
        <f t="shared" si="7"/>
        <v>1.6587472726396157</v>
      </c>
      <c r="F55" s="21">
        <f t="shared" si="8"/>
        <v>13.97783163228361</v>
      </c>
      <c r="G55" s="22">
        <f t="shared" si="9"/>
        <v>0.84338439341189908</v>
      </c>
    </row>
    <row r="56" spans="1:7" ht="15" customHeight="1" x14ac:dyDescent="0.35">
      <c r="A56" s="18">
        <f>'Raw Data'!A56</f>
        <v>45037</v>
      </c>
      <c r="B56" s="7">
        <f t="shared" si="5"/>
        <v>51</v>
      </c>
      <c r="C56" s="19">
        <f>'Raw Data'!B56</f>
        <v>13859446.828129999</v>
      </c>
      <c r="D56" s="20">
        <f t="shared" si="6"/>
        <v>16.444477639539219</v>
      </c>
      <c r="E56" s="21">
        <f t="shared" si="7"/>
        <v>1.338052491624353</v>
      </c>
      <c r="F56" s="21">
        <f t="shared" si="8"/>
        <v>14.770572080211863</v>
      </c>
      <c r="G56" s="22">
        <f t="shared" si="9"/>
        <v>0.82120312483048874</v>
      </c>
    </row>
    <row r="57" spans="1:7" ht="15" customHeight="1" x14ac:dyDescent="0.35">
      <c r="A57" s="18">
        <f>'Raw Data'!A57</f>
        <v>45065</v>
      </c>
      <c r="B57" s="7">
        <f t="shared" si="5"/>
        <v>52</v>
      </c>
      <c r="C57" s="19">
        <f>'Raw Data'!B57</f>
        <v>14009694.99516</v>
      </c>
      <c r="D57" s="20">
        <f t="shared" si="6"/>
        <v>16.455260147566573</v>
      </c>
      <c r="E57" s="21">
        <f t="shared" si="7"/>
        <v>1.0782508027354254</v>
      </c>
      <c r="F57" s="21">
        <f t="shared" si="8"/>
        <v>14.29867801880782</v>
      </c>
      <c r="G57" s="22">
        <f t="shared" si="9"/>
        <v>0.81580578474140453</v>
      </c>
    </row>
    <row r="58" spans="1:7" ht="15" customHeight="1" x14ac:dyDescent="0.35">
      <c r="A58" s="18">
        <f>'Raw Data'!A58</f>
        <v>45107</v>
      </c>
      <c r="B58" s="7">
        <f t="shared" si="5"/>
        <v>53</v>
      </c>
      <c r="C58" s="19">
        <f>'Raw Data'!B58</f>
        <v>14383718.157679999</v>
      </c>
      <c r="D58" s="20">
        <f t="shared" si="6"/>
        <v>16.481607441346956</v>
      </c>
      <c r="E58" s="21">
        <f t="shared" si="7"/>
        <v>2.6347293780382586</v>
      </c>
      <c r="F58" s="21">
        <f t="shared" si="8"/>
        <v>14.978914712785851</v>
      </c>
      <c r="G58" s="22">
        <f t="shared" si="9"/>
        <v>0.89356517959840198</v>
      </c>
    </row>
    <row r="59" spans="1:7" ht="15" customHeight="1" x14ac:dyDescent="0.35">
      <c r="A59" s="18">
        <f>'Raw Data'!A59</f>
        <v>45135</v>
      </c>
      <c r="B59" s="7">
        <f t="shared" si="5"/>
        <v>54</v>
      </c>
      <c r="C59" s="19">
        <f>'Raw Data'!B59</f>
        <v>14787123.3993</v>
      </c>
      <c r="D59" s="20">
        <f t="shared" si="6"/>
        <v>16.50926731944152</v>
      </c>
      <c r="E59" s="21">
        <f t="shared" si="7"/>
        <v>2.765987809456405</v>
      </c>
      <c r="F59" s="21">
        <f t="shared" si="8"/>
        <v>17.853512260785109</v>
      </c>
      <c r="G59" s="22">
        <f t="shared" si="9"/>
        <v>0.88198831914010234</v>
      </c>
    </row>
    <row r="60" spans="1:7" ht="15" customHeight="1" x14ac:dyDescent="0.35">
      <c r="A60" s="18">
        <f>'Raw Data'!A60</f>
        <v>45163</v>
      </c>
      <c r="B60" s="7">
        <f t="shared" si="5"/>
        <v>55</v>
      </c>
      <c r="C60" s="19">
        <f>'Raw Data'!B60</f>
        <v>14917311.568299999</v>
      </c>
      <c r="D60" s="20">
        <f t="shared" si="6"/>
        <v>16.518032946711532</v>
      </c>
      <c r="E60" s="21">
        <f t="shared" si="7"/>
        <v>0.87656272700122884</v>
      </c>
      <c r="F60" s="21">
        <f t="shared" si="8"/>
        <v>18.010659449442201</v>
      </c>
      <c r="G60" s="22">
        <f t="shared" si="9"/>
        <v>0.87063602824727759</v>
      </c>
    </row>
    <row r="61" spans="1:7" ht="15" customHeight="1" x14ac:dyDescent="0.35">
      <c r="A61" s="18">
        <f>'Raw Data'!A61</f>
        <v>45191</v>
      </c>
      <c r="B61" s="7">
        <f t="shared" si="5"/>
        <v>56</v>
      </c>
      <c r="C61" s="19">
        <f>'Raw Data'!B61</f>
        <v>15151314.188239999</v>
      </c>
      <c r="D61" s="20">
        <f t="shared" si="6"/>
        <v>16.533597831255864</v>
      </c>
      <c r="E61" s="21">
        <f t="shared" si="7"/>
        <v>1.5564884544332358</v>
      </c>
      <c r="F61" s="21">
        <f t="shared" si="8"/>
        <v>18.202225100050384</v>
      </c>
      <c r="G61" s="22">
        <f t="shared" si="9"/>
        <v>0.86967207402837221</v>
      </c>
    </row>
    <row r="62" spans="1:7" ht="15" customHeight="1" x14ac:dyDescent="0.35">
      <c r="A62" s="18">
        <f>'Raw Data'!A62</f>
        <v>45219</v>
      </c>
      <c r="B62" s="7">
        <f t="shared" si="5"/>
        <v>57</v>
      </c>
      <c r="C62" s="19">
        <f>'Raw Data'!B62</f>
        <v>15584525.6</v>
      </c>
      <c r="D62" s="20">
        <f t="shared" si="6"/>
        <v>16.561789031195097</v>
      </c>
      <c r="E62" s="21">
        <f t="shared" si="7"/>
        <v>2.8191199939232803</v>
      </c>
      <c r="F62" s="21">
        <f t="shared" si="8"/>
        <v>19.033850876511238</v>
      </c>
      <c r="G62" s="22">
        <f t="shared" si="9"/>
        <v>0.94081149236310269</v>
      </c>
    </row>
    <row r="63" spans="1:7" ht="15" customHeight="1" x14ac:dyDescent="0.35">
      <c r="A63" s="18">
        <f>'Raw Data'!A63</f>
        <v>45247</v>
      </c>
      <c r="B63" s="7">
        <f t="shared" si="5"/>
        <v>58</v>
      </c>
      <c r="C63" s="19">
        <f>'Raw Data'!B63</f>
        <v>15825455.710000001</v>
      </c>
      <c r="D63" s="20">
        <f t="shared" si="6"/>
        <v>16.577130322420334</v>
      </c>
      <c r="E63" s="21">
        <f t="shared" si="7"/>
        <v>1.5341291225237086</v>
      </c>
      <c r="F63" s="21">
        <f t="shared" si="8"/>
        <v>20.069284775305007</v>
      </c>
      <c r="G63" s="22">
        <f t="shared" si="9"/>
        <v>0.87735059820823735</v>
      </c>
    </row>
    <row r="64" spans="1:7" ht="15" customHeight="1" x14ac:dyDescent="0.35">
      <c r="A64" s="18">
        <f>'Raw Data'!A64</f>
        <v>45289</v>
      </c>
      <c r="B64" s="7">
        <f t="shared" si="5"/>
        <v>59</v>
      </c>
      <c r="C64" s="19">
        <f>'Raw Data'!B64</f>
        <v>15961943.970000001</v>
      </c>
      <c r="D64" s="20">
        <f t="shared" si="6"/>
        <v>16.585717945200177</v>
      </c>
      <c r="E64" s="21">
        <f t="shared" si="7"/>
        <v>0.85876227798422633</v>
      </c>
      <c r="F64" s="21">
        <f t="shared" si="8"/>
        <v>18.19282177960666</v>
      </c>
      <c r="G64" s="22">
        <f t="shared" si="9"/>
        <v>0.83700326219721222</v>
      </c>
    </row>
    <row r="65" spans="1:7" ht="15" customHeight="1" x14ac:dyDescent="0.35">
      <c r="A65" s="18">
        <f>'Raw Data'!A65</f>
        <v>45317</v>
      </c>
      <c r="B65" s="7">
        <f t="shared" si="5"/>
        <v>60</v>
      </c>
      <c r="C65" s="19">
        <f>'Raw Data'!B65</f>
        <v>16043591.800000001</v>
      </c>
      <c r="D65" s="20">
        <f t="shared" si="6"/>
        <v>16.590820063015379</v>
      </c>
      <c r="E65" s="21">
        <f t="shared" si="7"/>
        <v>0.51021178152019786</v>
      </c>
      <c r="F65" s="21">
        <f t="shared" si="8"/>
        <v>18.472717255738047</v>
      </c>
      <c r="G65" s="22">
        <f t="shared" si="9"/>
        <v>0.80104361793611234</v>
      </c>
    </row>
    <row r="66" spans="1:7" ht="15" customHeight="1" x14ac:dyDescent="0.35">
      <c r="A66" s="18">
        <f>'Raw Data'!A66</f>
        <v>45345</v>
      </c>
      <c r="B66" s="7">
        <f t="shared" si="5"/>
        <v>61</v>
      </c>
      <c r="C66" s="19">
        <f>'Raw Data'!B66</f>
        <v>16214134.77</v>
      </c>
      <c r="D66" s="20">
        <f t="shared" si="6"/>
        <v>16.601393936447877</v>
      </c>
      <c r="E66" s="21">
        <f t="shared" si="7"/>
        <v>1.0573873432498715</v>
      </c>
      <c r="F66" s="21">
        <f t="shared" si="8"/>
        <v>18.688429455129807</v>
      </c>
      <c r="G66" s="22">
        <f t="shared" si="9"/>
        <v>0.78624661937882601</v>
      </c>
    </row>
    <row r="67" spans="1:7" ht="15" customHeight="1" x14ac:dyDescent="0.35">
      <c r="A67" s="18">
        <f>'Raw Data'!A67</f>
        <v>45373</v>
      </c>
      <c r="B67" s="7">
        <f t="shared" si="5"/>
        <v>62</v>
      </c>
      <c r="C67" s="19">
        <f>'Raw Data'!B67</f>
        <v>16587041.810000001</v>
      </c>
      <c r="D67" s="20">
        <f t="shared" si="6"/>
        <v>16.624132334633703</v>
      </c>
      <c r="E67" s="21">
        <f t="shared" si="7"/>
        <v>2.2738398185826014</v>
      </c>
      <c r="F67" s="21">
        <f t="shared" si="8"/>
        <v>19.303522001072793</v>
      </c>
      <c r="G67" s="22">
        <f t="shared" si="9"/>
        <v>0.8130495738660749</v>
      </c>
    </row>
    <row r="68" spans="1:7" ht="15" customHeight="1" x14ac:dyDescent="0.35">
      <c r="A68" s="18">
        <f>'Raw Data'!A68</f>
        <v>45401</v>
      </c>
      <c r="B68" s="7">
        <f t="shared" si="5"/>
        <v>63</v>
      </c>
      <c r="C68" s="19">
        <f>'Raw Data'!B68</f>
        <v>16491796.34</v>
      </c>
      <c r="D68" s="20">
        <f t="shared" si="6"/>
        <v>16.618373623714973</v>
      </c>
      <c r="E68" s="21">
        <f t="shared" si="7"/>
        <v>-0.57587109187302588</v>
      </c>
      <c r="F68" s="21">
        <f t="shared" si="8"/>
        <v>17.389598417575414</v>
      </c>
      <c r="G68" s="22">
        <f t="shared" si="9"/>
        <v>1.0297884951758265</v>
      </c>
    </row>
    <row r="69" spans="1:7" ht="15" customHeight="1" x14ac:dyDescent="0.35">
      <c r="A69" s="18">
        <f>'Raw Data'!A69</f>
        <v>45443</v>
      </c>
      <c r="B69" s="7">
        <f t="shared" ref="B69:B94" si="10">ROW()-5</f>
        <v>64</v>
      </c>
      <c r="C69" s="19">
        <f>'Raw Data'!B69</f>
        <v>16784076.140000001</v>
      </c>
      <c r="D69" s="20">
        <f t="shared" ref="D69:D100" si="11">LN(C69)</f>
        <v>16.635941146071225</v>
      </c>
      <c r="E69" s="21">
        <f t="shared" si="7"/>
        <v>1.7567522356252141</v>
      </c>
      <c r="F69" s="21">
        <f t="shared" si="8"/>
        <v>18.068099850465202</v>
      </c>
      <c r="G69" s="22">
        <f t="shared" si="9"/>
        <v>1.0261941968609833</v>
      </c>
    </row>
    <row r="70" spans="1:7" ht="15" customHeight="1" x14ac:dyDescent="0.35">
      <c r="A70" s="18">
        <f>'Raw Data'!A70</f>
        <v>45471</v>
      </c>
      <c r="B70" s="7">
        <f t="shared" si="10"/>
        <v>65</v>
      </c>
      <c r="C70" s="19">
        <f>'Raw Data'!B70</f>
        <v>16880782.199999999</v>
      </c>
      <c r="D70" s="20">
        <f t="shared" si="11"/>
        <v>16.641686384921034</v>
      </c>
      <c r="E70" s="21">
        <f t="shared" ref="E70:E101" si="12">(D70-D69)*100</f>
        <v>0.57452388498084872</v>
      </c>
      <c r="F70" s="21">
        <f t="shared" si="8"/>
        <v>16.007894357407793</v>
      </c>
      <c r="G70" s="22">
        <f t="shared" si="9"/>
        <v>0.99189417030808191</v>
      </c>
    </row>
    <row r="71" spans="1:7" ht="15" customHeight="1" x14ac:dyDescent="0.35">
      <c r="A71" s="18">
        <f>'Raw Data'!A71</f>
        <v>45499</v>
      </c>
      <c r="B71" s="7">
        <f t="shared" si="10"/>
        <v>66</v>
      </c>
      <c r="C71" s="19">
        <f>'Raw Data'!B71</f>
        <v>16814792.059999999</v>
      </c>
      <c r="D71" s="20">
        <f t="shared" si="11"/>
        <v>16.637769536740464</v>
      </c>
      <c r="E71" s="21">
        <f t="shared" si="12"/>
        <v>-0.39168481805695876</v>
      </c>
      <c r="F71" s="21">
        <f t="shared" si="8"/>
        <v>12.850221729894429</v>
      </c>
      <c r="G71" s="22">
        <f t="shared" si="9"/>
        <v>0.99630361692961555</v>
      </c>
    </row>
    <row r="72" spans="1:7" ht="15" customHeight="1" x14ac:dyDescent="0.35">
      <c r="A72" s="18">
        <f>'Raw Data'!A72</f>
        <v>45527</v>
      </c>
      <c r="B72" s="7">
        <f t="shared" si="10"/>
        <v>67</v>
      </c>
      <c r="C72" s="19">
        <f>'Raw Data'!B72</f>
        <v>16945162.140000001</v>
      </c>
      <c r="D72" s="20">
        <f t="shared" si="11"/>
        <v>16.645492931581817</v>
      </c>
      <c r="E72" s="21">
        <f t="shared" si="12"/>
        <v>0.77233948413528708</v>
      </c>
      <c r="F72" s="21">
        <f t="shared" si="8"/>
        <v>12.745998487028487</v>
      </c>
      <c r="G72" s="22">
        <f t="shared" si="9"/>
        <v>0.99860293420542112</v>
      </c>
    </row>
    <row r="73" spans="1:7" ht="15" customHeight="1" x14ac:dyDescent="0.35">
      <c r="A73" s="18">
        <f>'Raw Data'!A73</f>
        <v>45555</v>
      </c>
      <c r="B73" s="7">
        <f t="shared" si="10"/>
        <v>68</v>
      </c>
      <c r="C73" s="19">
        <f>'Raw Data'!B73</f>
        <v>17125052</v>
      </c>
      <c r="D73" s="20">
        <f t="shared" si="11"/>
        <v>16.656052978604304</v>
      </c>
      <c r="E73" s="21">
        <f t="shared" si="12"/>
        <v>1.056004702248714</v>
      </c>
      <c r="F73" s="21">
        <f t="shared" si="8"/>
        <v>12.245514734843965</v>
      </c>
      <c r="G73" s="22">
        <f t="shared" si="9"/>
        <v>0.98645813487471545</v>
      </c>
    </row>
    <row r="74" spans="1:7" ht="15" customHeight="1" x14ac:dyDescent="0.35">
      <c r="A74" s="18">
        <f>'Raw Data'!A74</f>
        <v>45583</v>
      </c>
      <c r="B74" s="7">
        <f t="shared" si="10"/>
        <v>69</v>
      </c>
      <c r="C74" s="19">
        <f>'Raw Data'!B74</f>
        <v>17419531.890000001</v>
      </c>
      <c r="D74" s="20">
        <f t="shared" si="11"/>
        <v>16.673102657041351</v>
      </c>
      <c r="E74" s="21">
        <f t="shared" si="12"/>
        <v>1.7049678437047078</v>
      </c>
      <c r="F74" s="21">
        <f t="shared" si="8"/>
        <v>11.131362584625393</v>
      </c>
      <c r="G74" s="22">
        <f t="shared" si="9"/>
        <v>0.84390993824927407</v>
      </c>
    </row>
    <row r="75" spans="1:7" ht="15" customHeight="1" x14ac:dyDescent="0.35">
      <c r="A75" s="18">
        <f>'Raw Data'!A75</f>
        <v>45625</v>
      </c>
      <c r="B75" s="7">
        <f t="shared" si="10"/>
        <v>70</v>
      </c>
      <c r="C75" s="19">
        <f>'Raw Data'!B75</f>
        <v>17508956</v>
      </c>
      <c r="D75" s="20">
        <f t="shared" si="11"/>
        <v>16.678223079411978</v>
      </c>
      <c r="E75" s="21">
        <f t="shared" si="12"/>
        <v>0.51204223706271534</v>
      </c>
      <c r="F75" s="21">
        <f t="shared" si="8"/>
        <v>10.109275699164399</v>
      </c>
      <c r="G75" s="22">
        <f t="shared" si="9"/>
        <v>0.82856980081155196</v>
      </c>
    </row>
    <row r="76" spans="1:7" ht="15" customHeight="1" x14ac:dyDescent="0.35">
      <c r="A76" s="18">
        <f>'Raw Data'!A76</f>
        <v>45653</v>
      </c>
      <c r="B76" s="7">
        <f t="shared" si="10"/>
        <v>71</v>
      </c>
      <c r="C76" s="19">
        <f>'Raw Data'!B76</f>
        <v>17743037.780000001</v>
      </c>
      <c r="D76" s="20">
        <f t="shared" si="11"/>
        <v>16.691503759193875</v>
      </c>
      <c r="E76" s="21">
        <f t="shared" si="12"/>
        <v>1.3280679781896509</v>
      </c>
      <c r="F76" s="21">
        <f t="shared" si="8"/>
        <v>10.578581399369824</v>
      </c>
      <c r="G76" s="22">
        <f t="shared" si="9"/>
        <v>0.84040150194263585</v>
      </c>
    </row>
    <row r="77" spans="1:7" ht="15" customHeight="1" x14ac:dyDescent="0.35">
      <c r="A77" s="18">
        <f>'Raw Data'!A77</f>
        <v>45681</v>
      </c>
      <c r="B77" s="7">
        <f t="shared" si="10"/>
        <v>72</v>
      </c>
      <c r="C77" s="19">
        <f>'Raw Data'!B77</f>
        <v>17868478.530000001</v>
      </c>
      <c r="D77" s="20">
        <f t="shared" si="11"/>
        <v>16.698548742492441</v>
      </c>
      <c r="E77" s="21">
        <f t="shared" si="12"/>
        <v>0.70449832985666205</v>
      </c>
      <c r="F77" s="21">
        <f t="shared" si="8"/>
        <v>10.772867947706288</v>
      </c>
      <c r="G77" s="22">
        <f t="shared" si="9"/>
        <v>0.83444765332897741</v>
      </c>
    </row>
    <row r="78" spans="1:7" ht="15" customHeight="1" x14ac:dyDescent="0.35">
      <c r="A78" s="18">
        <f>'Raw Data'!A78</f>
        <v>45709</v>
      </c>
      <c r="B78" s="7">
        <f t="shared" si="10"/>
        <v>73</v>
      </c>
      <c r="C78" s="19">
        <f>'Raw Data'!B78</f>
        <v>18125412.600000001</v>
      </c>
      <c r="D78" s="20">
        <f t="shared" si="11"/>
        <v>16.712825522583845</v>
      </c>
      <c r="E78" s="21">
        <f t="shared" si="12"/>
        <v>1.4276780091403651</v>
      </c>
      <c r="F78" s="21">
        <f t="shared" si="8"/>
        <v>11.143158613596782</v>
      </c>
      <c r="G78" s="22">
        <f t="shared" si="9"/>
        <v>0.84763056092593136</v>
      </c>
    </row>
    <row r="79" spans="1:7" ht="15" customHeight="1" x14ac:dyDescent="0.35">
      <c r="A79" s="18">
        <f>'Raw Data'!A79</f>
        <v>45737</v>
      </c>
      <c r="B79" s="7">
        <f t="shared" si="10"/>
        <v>74</v>
      </c>
      <c r="C79" s="19">
        <f>'Raw Data'!B79</f>
        <v>18401354.280000001</v>
      </c>
      <c r="D79" s="20">
        <f t="shared" si="11"/>
        <v>16.72793482204462</v>
      </c>
      <c r="E79" s="21">
        <f t="shared" si="12"/>
        <v>1.5109299460775105</v>
      </c>
      <c r="F79" s="21">
        <f t="shared" si="8"/>
        <v>10.380248741091691</v>
      </c>
      <c r="G79" s="22">
        <f t="shared" si="9"/>
        <v>0.76182695228007169</v>
      </c>
    </row>
    <row r="80" spans="1:7" ht="15" customHeight="1" x14ac:dyDescent="0.35">
      <c r="A80" s="18">
        <f>'Raw Data'!A80</f>
        <v>45765</v>
      </c>
      <c r="B80" s="7">
        <f t="shared" si="10"/>
        <v>75</v>
      </c>
      <c r="C80" s="19">
        <f>'Raw Data'!B80</f>
        <v>18286312.850000001</v>
      </c>
      <c r="D80" s="20">
        <f t="shared" si="11"/>
        <v>16.721663406277209</v>
      </c>
      <c r="E80" s="21">
        <f t="shared" si="12"/>
        <v>-0.62714157674115256</v>
      </c>
      <c r="F80" s="21">
        <f t="shared" si="8"/>
        <v>10.328978256223564</v>
      </c>
      <c r="G80" s="22">
        <f t="shared" si="9"/>
        <v>0.77073420777395973</v>
      </c>
    </row>
    <row r="81" spans="1:7" ht="15" customHeight="1" x14ac:dyDescent="0.35">
      <c r="A81" s="18">
        <f>'Raw Data'!A81</f>
        <v>45807</v>
      </c>
      <c r="B81" s="7">
        <f t="shared" si="10"/>
        <v>76</v>
      </c>
      <c r="C81" s="19">
        <f>'Raw Data'!B81</f>
        <v>18287376.710000001</v>
      </c>
      <c r="D81" s="20">
        <f t="shared" si="11"/>
        <v>16.721721582524292</v>
      </c>
      <c r="E81" s="21">
        <f t="shared" si="12"/>
        <v>5.8176247083707722E-3</v>
      </c>
      <c r="F81" s="21">
        <f t="shared" ref="F81:F112" si="13">(D81-D69)*100</f>
        <v>8.578043645306721</v>
      </c>
      <c r="G81" s="22">
        <f t="shared" ref="G81:G112" si="14">STDEV(E70:E81)</f>
        <v>0.75117758602087026</v>
      </c>
    </row>
    <row r="82" spans="1:7" ht="15" customHeight="1" x14ac:dyDescent="0.35">
      <c r="A82" s="18">
        <f>'Raw Data'!A82</f>
        <v>45835</v>
      </c>
      <c r="B82" s="7">
        <f t="shared" si="10"/>
        <v>77</v>
      </c>
      <c r="C82" s="19">
        <f>'Raw Data'!B82</f>
        <v>18486199.73</v>
      </c>
      <c r="D82" s="20">
        <f t="shared" si="11"/>
        <v>16.732535051141006</v>
      </c>
      <c r="E82" s="21">
        <f t="shared" si="12"/>
        <v>1.0813468616714061</v>
      </c>
      <c r="F82" s="21">
        <f t="shared" si="13"/>
        <v>9.0848666219972785</v>
      </c>
      <c r="G82" s="22">
        <f t="shared" si="14"/>
        <v>0.75679836196589634</v>
      </c>
    </row>
    <row r="83" spans="1:7" ht="15" customHeight="1" x14ac:dyDescent="0.35">
      <c r="A83" s="18">
        <f>'Raw Data'!A83</f>
        <v>45863</v>
      </c>
      <c r="B83" s="7">
        <f t="shared" si="10"/>
        <v>78</v>
      </c>
      <c r="C83" s="19">
        <f>'Raw Data'!B83</f>
        <v>18501377</v>
      </c>
      <c r="D83" s="20">
        <f t="shared" si="11"/>
        <v>16.733355719711028</v>
      </c>
      <c r="E83" s="21">
        <f t="shared" si="12"/>
        <v>8.2066857002160987E-2</v>
      </c>
      <c r="F83" s="21">
        <f t="shared" si="13"/>
        <v>9.5586182970563982</v>
      </c>
      <c r="G83" s="22">
        <f t="shared" si="14"/>
        <v>0.70178133663623699</v>
      </c>
    </row>
    <row r="84" spans="1:7" ht="15" customHeight="1" x14ac:dyDescent="0.35">
      <c r="A84" s="18">
        <f>'Raw Data'!A84</f>
        <v>45891</v>
      </c>
      <c r="B84" s="7">
        <f t="shared" si="10"/>
        <v>79</v>
      </c>
      <c r="C84" s="19">
        <f>'Raw Data'!B84</f>
        <v>18644997.25</v>
      </c>
      <c r="D84" s="20">
        <f t="shared" si="11"/>
        <v>16.741088424102422</v>
      </c>
      <c r="E84" s="21">
        <f t="shared" si="12"/>
        <v>0.77327043913939519</v>
      </c>
      <c r="F84" s="21">
        <f t="shared" si="13"/>
        <v>9.5595492520605063</v>
      </c>
      <c r="G84" s="22">
        <f t="shared" si="14"/>
        <v>0.70177846820344725</v>
      </c>
    </row>
    <row r="85" spans="1:7" ht="15" customHeight="1" x14ac:dyDescent="0.35">
      <c r="A85" s="18">
        <f>'Raw Data'!A85</f>
        <v>45919</v>
      </c>
      <c r="B85" s="7">
        <f t="shared" si="10"/>
        <v>80</v>
      </c>
      <c r="C85" s="19">
        <f>'Raw Data'!B85</f>
        <v>18902933.600000001</v>
      </c>
      <c r="D85" s="20">
        <f t="shared" si="11"/>
        <v>16.754827684916187</v>
      </c>
      <c r="E85" s="21">
        <f t="shared" si="12"/>
        <v>1.3739260813764531</v>
      </c>
      <c r="F85" s="21">
        <f t="shared" si="13"/>
        <v>9.8774706311882454</v>
      </c>
      <c r="G85" s="22">
        <f t="shared" si="14"/>
        <v>0.7182678955825752</v>
      </c>
    </row>
    <row r="86" spans="1:7" ht="15" customHeight="1" x14ac:dyDescent="0.35">
      <c r="A86" s="18">
        <f>'Raw Data'!A86</f>
        <v>45961</v>
      </c>
      <c r="B86" s="7">
        <f t="shared" si="10"/>
        <v>81</v>
      </c>
      <c r="C86" s="19">
        <f>'Raw Data'!B86</f>
        <v>19390499.710000001</v>
      </c>
      <c r="D86" s="20">
        <f t="shared" si="11"/>
        <v>16.780293798418473</v>
      </c>
      <c r="E86" s="21">
        <f t="shared" si="12"/>
        <v>2.5466113502286447</v>
      </c>
      <c r="F86" s="21">
        <f t="shared" si="13"/>
        <v>10.719114137712182</v>
      </c>
      <c r="G86" s="22">
        <f t="shared" si="14"/>
        <v>0.8425463931210504</v>
      </c>
    </row>
    <row r="87" spans="1:7" ht="15" customHeight="1" x14ac:dyDescent="0.35">
      <c r="A87" s="18">
        <f>'Raw Data'!A87</f>
        <v>45989</v>
      </c>
      <c r="B87" s="7">
        <f t="shared" si="10"/>
        <v>82</v>
      </c>
      <c r="C87" s="19">
        <f>'Raw Data'!B87</f>
        <v>19527313.07</v>
      </c>
      <c r="D87" s="20">
        <f t="shared" si="11"/>
        <v>16.787324713766822</v>
      </c>
      <c r="E87" s="21">
        <f t="shared" si="12"/>
        <v>0.70309153483485431</v>
      </c>
      <c r="F87" s="21">
        <f t="shared" si="13"/>
        <v>10.910163435484321</v>
      </c>
      <c r="G87" s="22">
        <f t="shared" si="14"/>
        <v>0.83647117357028911</v>
      </c>
    </row>
    <row r="88" spans="1:7" ht="15" customHeight="1" x14ac:dyDescent="0.35">
      <c r="A88" s="18">
        <f>'Raw Data'!A88</f>
        <v>46022</v>
      </c>
      <c r="B88" s="7">
        <f t="shared" si="10"/>
        <v>83</v>
      </c>
      <c r="C88" s="19">
        <f>'Raw Data'!B88</f>
        <v>20322515.469999999</v>
      </c>
      <c r="D88" s="20">
        <f t="shared" si="11"/>
        <v>16.827239965827818</v>
      </c>
      <c r="E88" s="21">
        <f t="shared" si="12"/>
        <v>3.9915252060996664</v>
      </c>
      <c r="F88" s="21">
        <f t="shared" si="13"/>
        <v>13.573620663394337</v>
      </c>
      <c r="G88" s="22">
        <f t="shared" si="14"/>
        <v>1.2221717086199828</v>
      </c>
    </row>
    <row r="89" spans="1:7" ht="15" customHeight="1" x14ac:dyDescent="0.35">
      <c r="A89" s="18">
        <f>'Raw Data'!A89</f>
        <v>46053</v>
      </c>
      <c r="B89" s="7">
        <f t="shared" si="10"/>
        <v>84</v>
      </c>
      <c r="C89" s="19">
        <f>'Raw Data'!B89</f>
        <v>20475381.960000001</v>
      </c>
      <c r="D89" s="20">
        <f t="shared" si="11"/>
        <v>16.83473384247446</v>
      </c>
      <c r="E89" s="21">
        <f t="shared" si="12"/>
        <v>0.74938766466416951</v>
      </c>
      <c r="F89" s="21">
        <f t="shared" si="13"/>
        <v>13.618509998201844</v>
      </c>
      <c r="G89" s="22">
        <f t="shared" si="14"/>
        <v>1.2208151074586542</v>
      </c>
    </row>
    <row r="90" spans="1:7" ht="15" customHeight="1" x14ac:dyDescent="0.35">
      <c r="A90" s="18">
        <f>'Raw Data'!A90</f>
        <v>46081</v>
      </c>
      <c r="B90" s="7">
        <f t="shared" si="10"/>
        <v>85</v>
      </c>
      <c r="C90" s="19">
        <f>'Raw Data'!B90</f>
        <v>20754077.690000001</v>
      </c>
      <c r="D90" s="20">
        <f t="shared" si="11"/>
        <v>16.848253300515125</v>
      </c>
      <c r="E90" s="21">
        <f t="shared" si="12"/>
        <v>1.3519458040665455</v>
      </c>
      <c r="F90" s="21">
        <f t="shared" si="13"/>
        <v>13.542777793128025</v>
      </c>
      <c r="G90" s="22">
        <f t="shared" si="14"/>
        <v>1.2193587399406365</v>
      </c>
    </row>
    <row r="91" spans="1:7" ht="15" customHeight="1" x14ac:dyDescent="0.35">
      <c r="A91" s="18">
        <f>'Raw Data'!A91</f>
        <v>46112</v>
      </c>
      <c r="B91" s="7">
        <f t="shared" si="10"/>
        <v>86</v>
      </c>
      <c r="C91" s="19">
        <f>'Raw Data'!B91</f>
        <v>21361434.739999998</v>
      </c>
      <c r="D91" s="20">
        <f t="shared" si="11"/>
        <v>16.877097739276156</v>
      </c>
      <c r="E91" s="21">
        <f t="shared" si="12"/>
        <v>2.8844438761030489</v>
      </c>
      <c r="F91" s="21">
        <f t="shared" si="13"/>
        <v>14.916291723153563</v>
      </c>
      <c r="G91" s="22">
        <f t="shared" si="14"/>
        <v>1.3189144839068574</v>
      </c>
    </row>
    <row r="92" spans="1:7" ht="15" customHeight="1" x14ac:dyDescent="0.35">
      <c r="A92" s="18">
        <f>'Raw Data'!A92</f>
        <v>46142</v>
      </c>
      <c r="B92" s="7">
        <f t="shared" si="10"/>
        <v>87</v>
      </c>
      <c r="C92" s="19">
        <f>'Raw Data'!B92</f>
        <v>21211828.309999999</v>
      </c>
      <c r="D92" s="20">
        <f t="shared" si="11"/>
        <v>16.870069523203007</v>
      </c>
      <c r="E92" s="21">
        <f t="shared" si="12"/>
        <v>-0.70282160731487409</v>
      </c>
      <c r="F92" s="21">
        <f t="shared" si="13"/>
        <v>14.840611692579841</v>
      </c>
      <c r="G92" s="22">
        <f t="shared" si="14"/>
        <v>1.3288138311213593</v>
      </c>
    </row>
    <row r="93" spans="1:7" ht="15" customHeight="1" x14ac:dyDescent="0.35">
      <c r="A93" s="18">
        <f>'Raw Data'!A93</f>
        <v>46173</v>
      </c>
      <c r="B93" s="7">
        <f t="shared" si="10"/>
        <v>88</v>
      </c>
      <c r="C93" s="19">
        <f>'Raw Data'!B93</f>
        <v>21515965.07</v>
      </c>
      <c r="D93" s="20">
        <f t="shared" si="11"/>
        <v>16.884305778930933</v>
      </c>
      <c r="E93" s="21">
        <f t="shared" si="12"/>
        <v>1.4236255727926306</v>
      </c>
      <c r="F93" s="21">
        <f t="shared" si="13"/>
        <v>16.258419640664101</v>
      </c>
      <c r="G93" s="22">
        <f t="shared" si="14"/>
        <v>1.2712024712545114</v>
      </c>
    </row>
    <row r="94" spans="1:7" ht="15" customHeight="1" x14ac:dyDescent="0.35">
      <c r="A94" s="18">
        <f>'Raw Data'!A94</f>
        <v>46203</v>
      </c>
      <c r="B94" s="7">
        <f t="shared" si="10"/>
        <v>89</v>
      </c>
      <c r="C94" s="19">
        <f>'Raw Data'!B94</f>
        <v>21928364.690000001</v>
      </c>
      <c r="D94" s="20">
        <f t="shared" si="11"/>
        <v>16.903291548074179</v>
      </c>
      <c r="E94" s="21">
        <f t="shared" si="12"/>
        <v>1.898576914324579</v>
      </c>
      <c r="F94" s="21">
        <f t="shared" si="13"/>
        <v>17.075649693317274</v>
      </c>
      <c r="G94" s="22">
        <f t="shared" si="14"/>
        <v>1.2770940953956751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22" style="3" customWidth="1"/>
    <col min="2" max="2" width="14" style="3" customWidth="1"/>
    <col min="3" max="4" width="12" style="3" customWidth="1"/>
    <col min="5" max="6" width="14" style="3" customWidth="1"/>
    <col min="7" max="7" width="12" style="3" customWidth="1"/>
    <col min="8" max="8" width="10" style="3" customWidth="1"/>
    <col min="9" max="10" width="18" style="3" customWidth="1"/>
    <col min="11" max="11" width="26" style="3" customWidth="1"/>
  </cols>
  <sheetData>
    <row r="1" spans="1:11" ht="17.25" customHeight="1" x14ac:dyDescent="0.4">
      <c r="A1" s="14" t="s">
        <v>59</v>
      </c>
    </row>
    <row r="2" spans="1:11" ht="15" customHeight="1" x14ac:dyDescent="0.35">
      <c r="A2" s="15"/>
    </row>
    <row r="4" spans="1:11" ht="15" customHeight="1" x14ac:dyDescent="0.35">
      <c r="A4" s="5" t="s">
        <v>60</v>
      </c>
    </row>
    <row r="5" spans="1:11" ht="15" customHeight="1" x14ac:dyDescent="0.35">
      <c r="A5" s="3" t="s">
        <v>61</v>
      </c>
      <c r="B5" s="7">
        <v>90</v>
      </c>
    </row>
    <row r="6" spans="1:11" ht="15" customHeight="1" x14ac:dyDescent="0.35">
      <c r="A6" s="3" t="s">
        <v>62</v>
      </c>
      <c r="B6" s="20">
        <f>STEYX('Growth Analysis'!$D$5:$D$94,'Growth Analysis'!$B$5:$B$94)</f>
        <v>4.3049020299054476E-2</v>
      </c>
    </row>
    <row r="7" spans="1:11" ht="15" customHeight="1" x14ac:dyDescent="0.35">
      <c r="A7" s="3" t="s">
        <v>63</v>
      </c>
      <c r="B7" s="20">
        <f>B6^2*(B5-2)</f>
        <v>0.16308319708633959</v>
      </c>
    </row>
    <row r="9" spans="1:11" ht="15" customHeight="1" x14ac:dyDescent="0.35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6" t="s">
        <v>72</v>
      </c>
      <c r="J9" s="6" t="s">
        <v>73</v>
      </c>
      <c r="K9" s="6" t="s">
        <v>74</v>
      </c>
    </row>
    <row r="10" spans="1:11" ht="15" customHeight="1" x14ac:dyDescent="0.35">
      <c r="A10" s="7" t="s">
        <v>75</v>
      </c>
      <c r="B10" s="16">
        <v>43915</v>
      </c>
      <c r="C10" s="7">
        <f>COUNTIF('Growth Analysis'!$A$5:$A$94,"&lt;"&amp;B10)</f>
        <v>14</v>
      </c>
      <c r="D10" s="7">
        <f>$B$5-C10</f>
        <v>76</v>
      </c>
      <c r="E10" s="20">
        <f ca="1">STEYX(OFFSET('Growth Analysis'!$D$5,0,0,C10,1),OFFSET('Growth Analysis'!$B$5,0,0,C10,1))^2*(C10-2)</f>
        <v>1.1257907987689813E-3</v>
      </c>
      <c r="F10" s="20">
        <f ca="1">STEYX(OFFSET('Growth Analysis'!$D$5,C10,0,D10,1),OFFSET('Growth Analysis'!$B$5,C10,0,D10,1))^2*(D10-2)</f>
        <v>6.7612553273915132E-2</v>
      </c>
      <c r="G10" s="26">
        <f ca="1">(($B$7-(E10+F10))/2)/((E10+F10)/($B$5-4))</f>
        <v>59.018423186009308</v>
      </c>
      <c r="H10" s="27">
        <f ca="1">FDIST(G10,2,$B$5-4)</f>
        <v>7.3445214076935639E-17</v>
      </c>
      <c r="I10" s="22">
        <f ca="1">SLOPE(OFFSET('Growth Analysis'!$D$5,0,0,C10,1),OFFSET('Growth Analysis'!$B$5,0,0,C10,1))*100</f>
        <v>0.5155499003213756</v>
      </c>
      <c r="J10" s="22">
        <f ca="1">SLOPE(OFFSET('Growth Analysis'!$D$5,C10,0,D10,1),OFFSET('Growth Analysis'!$B$5,C10,0,D10,1))*100</f>
        <v>1.0877613013217486</v>
      </c>
      <c r="K10" s="7" t="str">
        <f ca="1">IF(H10&lt;0.05,"Significant structural break","No significant break")</f>
        <v>Significant structural break</v>
      </c>
    </row>
    <row r="11" spans="1:11" ht="15" customHeight="1" x14ac:dyDescent="0.35">
      <c r="A11" s="7" t="s">
        <v>76</v>
      </c>
      <c r="B11" s="16">
        <v>44287</v>
      </c>
      <c r="C11" s="7">
        <f>COUNTIF('Growth Analysis'!$A$5:$A$94,"&lt;"&amp;B11)</f>
        <v>27</v>
      </c>
      <c r="D11" s="7">
        <f>$B$5-C11</f>
        <v>63</v>
      </c>
      <c r="E11" s="20">
        <f ca="1">STEYX(OFFSET('Growth Analysis'!$D$5,0,0,C11,1),OFFSET('Growth Analysis'!$B$5,0,0,C11,1))^2*(C11-2)</f>
        <v>3.1389615265477525E-3</v>
      </c>
      <c r="F11" s="20">
        <f ca="1">STEYX(OFFSET('Growth Analysis'!$D$5,C11,0,D11,1),OFFSET('Growth Analysis'!$B$5,C11,0,D11,1))^2*(D11-2)</f>
        <v>2.6247548858001846E-2</v>
      </c>
      <c r="G11" s="26">
        <f ca="1">(($B$7-(E11+F11))/2)/((E11+F11)/($B$5-4))</f>
        <v>195.63253523288603</v>
      </c>
      <c r="H11" s="27">
        <f ca="1">FDIST(G11,2,$B$5-4)</f>
        <v>9.9258661792101516E-33</v>
      </c>
      <c r="I11" s="22">
        <f ca="1">SLOPE(OFFSET('Growth Analysis'!$D$5,0,0,C11,1),OFFSET('Growth Analysis'!$B$5,0,0,C11,1))*100</f>
        <v>0.51086165717456811</v>
      </c>
      <c r="J11" s="22">
        <f ca="1">SLOPE(OFFSET('Growth Analysis'!$D$5,C11,0,D11,1),OFFSET('Growth Analysis'!$B$5,C11,0,D11,1))*100</f>
        <v>1.1731651315810065</v>
      </c>
      <c r="K11" s="7" t="str">
        <f ca="1">IF(H11&lt;0.05,"Significant structural break","No significant break")</f>
        <v>Significant structural break</v>
      </c>
    </row>
    <row r="12" spans="1:11" ht="15" customHeight="1" x14ac:dyDescent="0.35">
      <c r="A12" s="7" t="s">
        <v>77</v>
      </c>
      <c r="B12" s="16">
        <v>45108</v>
      </c>
      <c r="C12" s="7">
        <f>COUNTIF('Growth Analysis'!$A$5:$A$94,"&lt;"&amp;B12)</f>
        <v>54</v>
      </c>
      <c r="D12" s="7">
        <f>$B$5-C12</f>
        <v>36</v>
      </c>
      <c r="E12" s="20">
        <f ca="1">STEYX(OFFSET('Growth Analysis'!$D$5,0,0,C12,1),OFFSET('Growth Analysis'!$B$5,0,0,C12,1))^2*(C12-2)</f>
        <v>4.2062191985049235E-2</v>
      </c>
      <c r="F12" s="20">
        <f ca="1">STEYX(OFFSET('Growth Analysis'!$D$5,C12,0,D12,1),OFFSET('Growth Analysis'!$B$5,C12,0,D12,1))^2*(D12-2)</f>
        <v>9.3817110323523023E-3</v>
      </c>
      <c r="G12" s="26">
        <f ca="1">(($B$7-(E12+F12))/2)/((E12+F12)/($B$5-4))</f>
        <v>93.315035667890726</v>
      </c>
      <c r="H12" s="27">
        <f ca="1">FDIST(G12,2,$B$5-4)</f>
        <v>2.8429017036665435E-22</v>
      </c>
      <c r="I12" s="22">
        <f ca="1">SLOPE(OFFSET('Growth Analysis'!$D$5,0,0,C12,1),OFFSET('Growth Analysis'!$B$5,0,0,C12,1))*100</f>
        <v>0.73029184348438503</v>
      </c>
      <c r="J12" s="22">
        <f ca="1">SLOPE(OFFSET('Growth Analysis'!$D$5,C12,0,D12,1),OFFSET('Growth Analysis'!$B$5,C12,0,D12,1))*100</f>
        <v>1.0163296062084177</v>
      </c>
      <c r="K12" s="7" t="str">
        <f ca="1">IF(H12&lt;0.05,"Significant structural break","No significant break")</f>
        <v>Significant structural break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4"/>
  <sheetViews>
    <sheetView topLeftCell="B1" zoomScaleNormal="100" workbookViewId="0">
      <pane ySplit="4" topLeftCell="A5" activePane="bottomLeft" state="frozen"/>
      <selection pane="bottomLeft" activeCell="A2" sqref="A2"/>
    </sheetView>
  </sheetViews>
  <sheetFormatPr defaultColWidth="8.6328125" defaultRowHeight="14.5" x14ac:dyDescent="0.35"/>
  <cols>
    <col min="1" max="1" width="60.54296875" style="3" bestFit="1" customWidth="1"/>
    <col min="2" max="2" width="20" style="3" customWidth="1"/>
    <col min="3" max="5" width="16" style="3" customWidth="1"/>
  </cols>
  <sheetData>
    <row r="1" spans="1:5" ht="17.25" customHeight="1" x14ac:dyDescent="0.4">
      <c r="A1" s="14" t="s">
        <v>78</v>
      </c>
    </row>
    <row r="2" spans="1:5" ht="15" customHeight="1" x14ac:dyDescent="0.35">
      <c r="A2" s="15"/>
    </row>
    <row r="4" spans="1:5" ht="15" customHeight="1" x14ac:dyDescent="0.35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</row>
    <row r="5" spans="1:5" ht="15" customHeight="1" x14ac:dyDescent="0.35">
      <c r="A5" s="7">
        <v>13</v>
      </c>
      <c r="B5" s="18">
        <f>'Growth Analysis'!A18</f>
        <v>43889</v>
      </c>
      <c r="C5" s="20">
        <f ca="1">STEYX(OFFSET('Growth Analysis'!$D$5,0,0,A5,1),OFFSET('Growth Analysis'!$B$5,0,0,A5,1))^2*(A5-2)</f>
        <v>1.1168227636600301E-3</v>
      </c>
      <c r="D5" s="20">
        <f ca="1">STEYX(OFFSET('Growth Analysis'!$D$5,A5,0,90-A5,1),OFFSET('Growth Analysis'!$B$5,A5,0,90-A5,1))^2*(90-A5-2)</f>
        <v>7.3261638337836402E-2</v>
      </c>
      <c r="E5" s="20">
        <f t="shared" ref="E5:E36" ca="1" si="0">C5+D5</f>
        <v>7.4378461101496429E-2</v>
      </c>
    </row>
    <row r="6" spans="1:5" ht="15" customHeight="1" x14ac:dyDescent="0.35">
      <c r="A6" s="7">
        <v>14</v>
      </c>
      <c r="B6" s="18">
        <f>'Growth Analysis'!A19</f>
        <v>43917</v>
      </c>
      <c r="C6" s="20">
        <f ca="1">STEYX(OFFSET('Growth Analysis'!$D$5,0,0,A6,1),OFFSET('Growth Analysis'!$B$5,0,0,A6,1))^2*(A6-2)</f>
        <v>1.1257907987689813E-3</v>
      </c>
      <c r="D6" s="20">
        <f ca="1">STEYX(OFFSET('Growth Analysis'!$D$5,A6,0,90-A6,1),OFFSET('Growth Analysis'!$B$5,A6,0,90-A6,1))^2*(90-A6-2)</f>
        <v>6.7612553273915132E-2</v>
      </c>
      <c r="E6" s="20">
        <f t="shared" ca="1" si="0"/>
        <v>6.8738344072684116E-2</v>
      </c>
    </row>
    <row r="7" spans="1:5" ht="15" customHeight="1" x14ac:dyDescent="0.35">
      <c r="A7" s="7">
        <v>15</v>
      </c>
      <c r="B7" s="18">
        <f>'Growth Analysis'!A20</f>
        <v>43945</v>
      </c>
      <c r="C7" s="20">
        <f ca="1">STEYX(OFFSET('Growth Analysis'!$D$5,0,0,A7,1),OFFSET('Growth Analysis'!$B$5,0,0,A7,1))^2*(A7-2)</f>
        <v>1.5413246156583251E-3</v>
      </c>
      <c r="D7" s="20">
        <f ca="1">STEYX(OFFSET('Growth Analysis'!$D$5,A7,0,90-A7,1),OFFSET('Growth Analysis'!$B$5,A7,0,90-A7,1))^2*(90-A7-2)</f>
        <v>5.8638104176885079E-2</v>
      </c>
      <c r="E7" s="20">
        <f t="shared" ca="1" si="0"/>
        <v>6.0179428792543406E-2</v>
      </c>
    </row>
    <row r="8" spans="1:5" ht="15" customHeight="1" x14ac:dyDescent="0.35">
      <c r="A8" s="7">
        <v>16</v>
      </c>
      <c r="B8" s="18">
        <f>'Growth Analysis'!A21</f>
        <v>43973</v>
      </c>
      <c r="C8" s="20">
        <f ca="1">STEYX(OFFSET('Growth Analysis'!$D$5,0,0,A8,1),OFFSET('Growth Analysis'!$B$5,0,0,A8,1))^2*(A8-2)</f>
        <v>1.5464250450913789E-3</v>
      </c>
      <c r="D8" s="20">
        <f ca="1">STEYX(OFFSET('Growth Analysis'!$D$5,A8,0,90-A8,1),OFFSET('Growth Analysis'!$B$5,A8,0,90-A8,1))^2*(90-A8-2)</f>
        <v>5.2404912514486306E-2</v>
      </c>
      <c r="E8" s="20">
        <f t="shared" ca="1" si="0"/>
        <v>5.3951337559577685E-2</v>
      </c>
    </row>
    <row r="9" spans="1:5" ht="15" customHeight="1" x14ac:dyDescent="0.35">
      <c r="A9" s="7">
        <v>17</v>
      </c>
      <c r="B9" s="18">
        <f>'Growth Analysis'!A22</f>
        <v>44001</v>
      </c>
      <c r="C9" s="20">
        <f ca="1">STEYX(OFFSET('Growth Analysis'!$D$5,0,0,A9,1),OFFSET('Growth Analysis'!$B$5,0,0,A9,1))^2*(A9-2)</f>
        <v>1.606565207392956E-3</v>
      </c>
      <c r="D9" s="20">
        <f ca="1">STEYX(OFFSET('Growth Analysis'!$D$5,A9,0,90-A9,1),OFFSET('Growth Analysis'!$B$5,A9,0,90-A9,1))^2*(90-A9-2)</f>
        <v>4.7930857644963076E-2</v>
      </c>
      <c r="E9" s="20">
        <f t="shared" ca="1" si="0"/>
        <v>4.9537422852356031E-2</v>
      </c>
    </row>
    <row r="10" spans="1:5" ht="15" customHeight="1" x14ac:dyDescent="0.35">
      <c r="A10" s="7">
        <v>18</v>
      </c>
      <c r="B10" s="18">
        <f>'Growth Analysis'!A23</f>
        <v>44043</v>
      </c>
      <c r="C10" s="20">
        <f ca="1">STEYX(OFFSET('Growth Analysis'!$D$5,0,0,A10,1),OFFSET('Growth Analysis'!$B$5,0,0,A10,1))^2*(A10-2)</f>
        <v>1.6901839280585066E-3</v>
      </c>
      <c r="D10" s="20">
        <f ca="1">STEYX(OFFSET('Growth Analysis'!$D$5,A10,0,90-A10,1),OFFSET('Growth Analysis'!$B$5,A10,0,90-A10,1))^2*(90-A10-2)</f>
        <v>4.4147324231197597E-2</v>
      </c>
      <c r="E10" s="20">
        <f t="shared" ca="1" si="0"/>
        <v>4.5837508159256107E-2</v>
      </c>
    </row>
    <row r="11" spans="1:5" ht="15" customHeight="1" x14ac:dyDescent="0.35">
      <c r="A11" s="7">
        <v>19</v>
      </c>
      <c r="B11" s="18">
        <f>'Growth Analysis'!A24</f>
        <v>44071</v>
      </c>
      <c r="C11" s="20">
        <f ca="1">STEYX(OFFSET('Growth Analysis'!$D$5,0,0,A11,1),OFFSET('Growth Analysis'!$B$5,0,0,A11,1))^2*(A11-2)</f>
        <v>1.7716208933374192E-3</v>
      </c>
      <c r="D11" s="20">
        <f ca="1">STEYX(OFFSET('Growth Analysis'!$D$5,A11,0,90-A11,1),OFFSET('Growth Analysis'!$B$5,A11,0,90-A11,1))^2*(90-A11-2)</f>
        <v>4.0881803418838736E-2</v>
      </c>
      <c r="E11" s="20">
        <f t="shared" ca="1" si="0"/>
        <v>4.2653424312176155E-2</v>
      </c>
    </row>
    <row r="12" spans="1:5" ht="15" customHeight="1" x14ac:dyDescent="0.35">
      <c r="A12" s="7">
        <v>20</v>
      </c>
      <c r="B12" s="18">
        <f>'Growth Analysis'!A25</f>
        <v>44099</v>
      </c>
      <c r="C12" s="20">
        <f ca="1">STEYX(OFFSET('Growth Analysis'!$D$5,0,0,A12,1),OFFSET('Growth Analysis'!$B$5,0,0,A12,1))^2*(A12-2)</f>
        <v>2.0913311663362378E-3</v>
      </c>
      <c r="D12" s="20">
        <f ca="1">STEYX(OFFSET('Growth Analysis'!$D$5,A12,0,90-A12,1),OFFSET('Growth Analysis'!$B$5,A12,0,90-A12,1))^2*(90-A12-2)</f>
        <v>3.9097284824967993E-2</v>
      </c>
      <c r="E12" s="20">
        <f t="shared" ca="1" si="0"/>
        <v>4.1188615991304231E-2</v>
      </c>
    </row>
    <row r="13" spans="1:5" ht="15" customHeight="1" x14ac:dyDescent="0.35">
      <c r="A13" s="7">
        <v>21</v>
      </c>
      <c r="B13" s="18">
        <f>'Growth Analysis'!A26</f>
        <v>44127</v>
      </c>
      <c r="C13" s="20">
        <f ca="1">STEYX(OFFSET('Growth Analysis'!$D$5,0,0,A13,1),OFFSET('Growth Analysis'!$B$5,0,0,A13,1))^2*(A13-2)</f>
        <v>2.2948089484346144E-3</v>
      </c>
      <c r="D13" s="20">
        <f ca="1">STEYX(OFFSET('Growth Analysis'!$D$5,A13,0,90-A13,1),OFFSET('Growth Analysis'!$B$5,A13,0,90-A13,1))^2*(90-A13-2)</f>
        <v>3.760419439310958E-2</v>
      </c>
      <c r="E13" s="20">
        <f t="shared" ca="1" si="0"/>
        <v>3.9899003341544198E-2</v>
      </c>
    </row>
    <row r="14" spans="1:5" ht="15" customHeight="1" x14ac:dyDescent="0.35">
      <c r="A14" s="7">
        <v>22</v>
      </c>
      <c r="B14" s="18">
        <f>'Growth Analysis'!A27</f>
        <v>44155</v>
      </c>
      <c r="C14" s="20">
        <f ca="1">STEYX(OFFSET('Growth Analysis'!$D$5,0,0,A14,1),OFFSET('Growth Analysis'!$B$5,0,0,A14,1))^2*(A14-2)</f>
        <v>2.3990621870762924E-3</v>
      </c>
      <c r="D14" s="20">
        <f ca="1">STEYX(OFFSET('Growth Analysis'!$D$5,A14,0,90-A14,1),OFFSET('Growth Analysis'!$B$5,A14,0,90-A14,1))^2*(90-A14-2)</f>
        <v>3.6311094156888046E-2</v>
      </c>
      <c r="E14" s="20">
        <f t="shared" ca="1" si="0"/>
        <v>3.8710156343964339E-2</v>
      </c>
    </row>
    <row r="15" spans="1:5" ht="15" customHeight="1" x14ac:dyDescent="0.35">
      <c r="A15" s="7">
        <v>23</v>
      </c>
      <c r="B15" s="18">
        <f>'Growth Analysis'!A28</f>
        <v>44183</v>
      </c>
      <c r="C15" s="20">
        <f ca="1">STEYX(OFFSET('Growth Analysis'!$D$5,0,0,A15,1),OFFSET('Growth Analysis'!$B$5,0,0,A15,1))^2*(A15-2)</f>
        <v>2.4177516426188849E-3</v>
      </c>
      <c r="D15" s="20">
        <f ca="1">STEYX(OFFSET('Growth Analysis'!$D$5,A15,0,90-A15,1),OFFSET('Growth Analysis'!$B$5,A15,0,90-A15,1))^2*(90-A15-2)</f>
        <v>3.5022445919674183E-2</v>
      </c>
      <c r="E15" s="20">
        <f t="shared" ca="1" si="0"/>
        <v>3.7440197562293068E-2</v>
      </c>
    </row>
    <row r="16" spans="1:5" ht="15" customHeight="1" x14ac:dyDescent="0.35">
      <c r="A16" s="7">
        <v>24</v>
      </c>
      <c r="B16" s="18">
        <f>'Growth Analysis'!A29</f>
        <v>44225</v>
      </c>
      <c r="C16" s="20">
        <f ca="1">STEYX(OFFSET('Growth Analysis'!$D$5,0,0,A16,1),OFFSET('Growth Analysis'!$B$5,0,0,A16,1))^2*(A16-2)</f>
        <v>2.654693542103459E-3</v>
      </c>
      <c r="D16" s="20">
        <f ca="1">STEYX(OFFSET('Growth Analysis'!$D$5,A16,0,90-A16,1),OFFSET('Growth Analysis'!$B$5,A16,0,90-A16,1))^2*(90-A16-2)</f>
        <v>3.2277141790727715E-2</v>
      </c>
      <c r="E16" s="20">
        <f t="shared" ca="1" si="0"/>
        <v>3.4931835332831174E-2</v>
      </c>
    </row>
    <row r="17" spans="1:5" ht="15" customHeight="1" x14ac:dyDescent="0.35">
      <c r="A17" s="7">
        <v>25</v>
      </c>
      <c r="B17" s="18">
        <f>'Growth Analysis'!A30</f>
        <v>44253</v>
      </c>
      <c r="C17" s="20">
        <f ca="1">STEYX(OFFSET('Growth Analysis'!$D$5,0,0,A17,1),OFFSET('Growth Analysis'!$B$5,0,0,A17,1))^2*(A17-2)</f>
        <v>2.7307036246634261E-3</v>
      </c>
      <c r="D17" s="20">
        <f ca="1">STEYX(OFFSET('Growth Analysis'!$D$5,A17,0,90-A17,1),OFFSET('Growth Analysis'!$B$5,A17,0,90-A17,1))^2*(90-A17-2)</f>
        <v>3.0351182286402434E-2</v>
      </c>
      <c r="E17" s="20">
        <f t="shared" ca="1" si="0"/>
        <v>3.308188591106586E-2</v>
      </c>
    </row>
    <row r="18" spans="1:5" ht="15" customHeight="1" x14ac:dyDescent="0.35">
      <c r="A18" s="7">
        <v>26</v>
      </c>
      <c r="B18" s="18">
        <f>'Growth Analysis'!A31</f>
        <v>44281</v>
      </c>
      <c r="C18" s="20">
        <f ca="1">STEYX(OFFSET('Growth Analysis'!$D$5,0,0,A18,1),OFFSET('Growth Analysis'!$B$5,0,0,A18,1))^2*(A18-2)</f>
        <v>2.8123596563838643E-3</v>
      </c>
      <c r="D18" s="20">
        <f ca="1">STEYX(OFFSET('Growth Analysis'!$D$5,A18,0,90-A18,1),OFFSET('Growth Analysis'!$B$5,A18,0,90-A18,1))^2*(90-A18-2)</f>
        <v>2.8626777519541683E-2</v>
      </c>
      <c r="E18" s="20">
        <f t="shared" ca="1" si="0"/>
        <v>3.1439137175925544E-2</v>
      </c>
    </row>
    <row r="19" spans="1:5" ht="15" customHeight="1" x14ac:dyDescent="0.35">
      <c r="A19" s="7">
        <v>27</v>
      </c>
      <c r="B19" s="18">
        <f>'Growth Analysis'!A32</f>
        <v>44309</v>
      </c>
      <c r="C19" s="20">
        <f ca="1">STEYX(OFFSET('Growth Analysis'!$D$5,0,0,A19,1),OFFSET('Growth Analysis'!$B$5,0,0,A19,1))^2*(A19-2)</f>
        <v>3.1389615265477525E-3</v>
      </c>
      <c r="D19" s="20">
        <f ca="1">STEYX(OFFSET('Growth Analysis'!$D$5,A19,0,90-A19,1),OFFSET('Growth Analysis'!$B$5,A19,0,90-A19,1))^2*(90-A19-2)</f>
        <v>2.6247548858001846E-2</v>
      </c>
      <c r="E19" s="20">
        <f t="shared" ca="1" si="0"/>
        <v>2.9386510384549598E-2</v>
      </c>
    </row>
    <row r="20" spans="1:5" ht="15" customHeight="1" x14ac:dyDescent="0.35">
      <c r="A20" s="7">
        <v>28</v>
      </c>
      <c r="B20" s="18">
        <f>'Growth Analysis'!A33</f>
        <v>44337</v>
      </c>
      <c r="C20" s="20">
        <f ca="1">STEYX(OFFSET('Growth Analysis'!$D$5,0,0,A20,1),OFFSET('Growth Analysis'!$B$5,0,0,A20,1))^2*(A20-2)</f>
        <v>3.1494621678585452E-3</v>
      </c>
      <c r="D20" s="20">
        <f ca="1">STEYX(OFFSET('Growth Analysis'!$D$5,A20,0,90-A20,1),OFFSET('Growth Analysis'!$B$5,A20,0,90-A20,1))^2*(90-A20-2)</f>
        <v>2.5259506935564779E-2</v>
      </c>
      <c r="E20" s="20">
        <f t="shared" ca="1" si="0"/>
        <v>2.8408969103423325E-2</v>
      </c>
    </row>
    <row r="21" spans="1:5" ht="15" customHeight="1" x14ac:dyDescent="0.35">
      <c r="A21" s="7">
        <v>29</v>
      </c>
      <c r="B21" s="18">
        <f>'Growth Analysis'!A34</f>
        <v>44365</v>
      </c>
      <c r="C21" s="20">
        <f ca="1">STEYX(OFFSET('Growth Analysis'!$D$5,0,0,A21,1),OFFSET('Growth Analysis'!$B$5,0,0,A21,1))^2*(A21-2)</f>
        <v>3.1696464655933954E-3</v>
      </c>
      <c r="D21" s="20">
        <f ca="1">STEYX(OFFSET('Growth Analysis'!$D$5,A21,0,90-A21,1),OFFSET('Growth Analysis'!$B$5,A21,0,90-A21,1))^2*(90-A21-2)</f>
        <v>2.4914601380996881E-2</v>
      </c>
      <c r="E21" s="20">
        <f t="shared" ca="1" si="0"/>
        <v>2.8084247846590277E-2</v>
      </c>
    </row>
    <row r="22" spans="1:5" ht="15" customHeight="1" x14ac:dyDescent="0.35">
      <c r="A22" s="7">
        <v>30</v>
      </c>
      <c r="B22" s="18">
        <f>'Growth Analysis'!A35</f>
        <v>44407</v>
      </c>
      <c r="C22" s="20">
        <f ca="1">STEYX(OFFSET('Growth Analysis'!$D$5,0,0,A22,1),OFFSET('Growth Analysis'!$B$5,0,0,A22,1))^2*(A22-2)</f>
        <v>3.1697491253431724E-3</v>
      </c>
      <c r="D22" s="20">
        <f ca="1">STEYX(OFFSET('Growth Analysis'!$D$5,A22,0,90-A22,1),OFFSET('Growth Analysis'!$B$5,A22,0,90-A22,1))^2*(90-A22-2)</f>
        <v>2.4629966272387008E-2</v>
      </c>
      <c r="E22" s="20">
        <f t="shared" ca="1" si="0"/>
        <v>2.7799715397730181E-2</v>
      </c>
    </row>
    <row r="23" spans="1:5" ht="15" customHeight="1" x14ac:dyDescent="0.35">
      <c r="A23" s="7">
        <v>31</v>
      </c>
      <c r="B23" s="18">
        <f>'Growth Analysis'!A36</f>
        <v>44435</v>
      </c>
      <c r="C23" s="20">
        <f ca="1">STEYX(OFFSET('Growth Analysis'!$D$5,0,0,A23,1),OFFSET('Growth Analysis'!$B$5,0,0,A23,1))^2*(A23-2)</f>
        <v>3.2132852112219533E-3</v>
      </c>
      <c r="D23" s="20">
        <f ca="1">STEYX(OFFSET('Growth Analysis'!$D$5,A23,0,90-A23,1),OFFSET('Growth Analysis'!$B$5,A23,0,90-A23,1))^2*(90-A23-2)</f>
        <v>2.4613246115560376E-2</v>
      </c>
      <c r="E23" s="20">
        <f t="shared" ca="1" si="0"/>
        <v>2.7826531326782328E-2</v>
      </c>
    </row>
    <row r="24" spans="1:5" ht="15" customHeight="1" x14ac:dyDescent="0.35">
      <c r="A24" s="7">
        <v>32</v>
      </c>
      <c r="B24" s="18">
        <f>'Growth Analysis'!A37</f>
        <v>44463</v>
      </c>
      <c r="C24" s="20">
        <f ca="1">STEYX(OFFSET('Growth Analysis'!$D$5,0,0,A24,1),OFFSET('Growth Analysis'!$B$5,0,0,A24,1))^2*(A24-2)</f>
        <v>3.3492349913631643E-3</v>
      </c>
      <c r="D24" s="20">
        <f ca="1">STEYX(OFFSET('Growth Analysis'!$D$5,A24,0,90-A24,1),OFFSET('Growth Analysis'!$B$5,A24,0,90-A24,1))^2*(90-A24-2)</f>
        <v>2.4530244661092219E-2</v>
      </c>
      <c r="E24" s="20">
        <f t="shared" ca="1" si="0"/>
        <v>2.7879479652455384E-2</v>
      </c>
    </row>
    <row r="25" spans="1:5" ht="15" customHeight="1" x14ac:dyDescent="0.35">
      <c r="A25" s="7">
        <v>33</v>
      </c>
      <c r="B25" s="18">
        <f>'Growth Analysis'!A38</f>
        <v>44491</v>
      </c>
      <c r="C25" s="20">
        <f ca="1">STEYX(OFFSET('Growth Analysis'!$D$5,0,0,A25,1),OFFSET('Growth Analysis'!$B$5,0,0,A25,1))^2*(A25-2)</f>
        <v>3.4468711944681397E-3</v>
      </c>
      <c r="D25" s="20">
        <f ca="1">STEYX(OFFSET('Growth Analysis'!$D$5,A25,0,90-A25,1),OFFSET('Growth Analysis'!$B$5,A25,0,90-A25,1))^2*(90-A25-2)</f>
        <v>2.4261384674080233E-2</v>
      </c>
      <c r="E25" s="20">
        <f t="shared" ca="1" si="0"/>
        <v>2.7708255868548373E-2</v>
      </c>
    </row>
    <row r="26" spans="1:5" ht="15" customHeight="1" x14ac:dyDescent="0.35">
      <c r="A26" s="7">
        <v>34</v>
      </c>
      <c r="B26" s="18">
        <f>'Growth Analysis'!A39</f>
        <v>44519</v>
      </c>
      <c r="C26" s="20">
        <f ca="1">STEYX(OFFSET('Growth Analysis'!$D$5,0,0,A26,1),OFFSET('Growth Analysis'!$B$5,0,0,A26,1))^2*(A26-2)</f>
        <v>3.4814133630622075E-3</v>
      </c>
      <c r="D26" s="20">
        <f ca="1">STEYX(OFFSET('Growth Analysis'!$D$5,A26,0,90-A26,1),OFFSET('Growth Analysis'!$B$5,A26,0,90-A26,1))^2*(90-A26-2)</f>
        <v>2.3797260496693173E-2</v>
      </c>
      <c r="E26" s="20">
        <f t="shared" ca="1" si="0"/>
        <v>2.7278673859755381E-2</v>
      </c>
    </row>
    <row r="27" spans="1:5" ht="15" customHeight="1" x14ac:dyDescent="0.35">
      <c r="A27" s="7">
        <v>35</v>
      </c>
      <c r="B27" s="18">
        <f>'Growth Analysis'!A40</f>
        <v>44561</v>
      </c>
      <c r="C27" s="20">
        <f ca="1">STEYX(OFFSET('Growth Analysis'!$D$5,0,0,A27,1),OFFSET('Growth Analysis'!$B$5,0,0,A27,1))^2*(A27-2)</f>
        <v>3.4814346468802909E-3</v>
      </c>
      <c r="D27" s="20">
        <f ca="1">STEYX(OFFSET('Growth Analysis'!$D$5,A27,0,90-A27,1),OFFSET('Growth Analysis'!$B$5,A27,0,90-A27,1))^2*(90-A27-2)</f>
        <v>2.3204308047306776E-2</v>
      </c>
      <c r="E27" s="20">
        <f t="shared" ca="1" si="0"/>
        <v>2.6685742694187067E-2</v>
      </c>
    </row>
    <row r="28" spans="1:5" ht="15" customHeight="1" x14ac:dyDescent="0.35">
      <c r="A28" s="7">
        <v>36</v>
      </c>
      <c r="B28" s="18">
        <f>'Growth Analysis'!A41</f>
        <v>44589</v>
      </c>
      <c r="C28" s="20">
        <f ca="1">STEYX(OFFSET('Growth Analysis'!$D$5,0,0,A28,1),OFFSET('Growth Analysis'!$B$5,0,0,A28,1))^2*(A28-2)</f>
        <v>4.4057903176926696E-3</v>
      </c>
      <c r="D28" s="20">
        <f ca="1">STEYX(OFFSET('Growth Analysis'!$D$5,A28,0,90-A28,1),OFFSET('Growth Analysis'!$B$5,A28,0,90-A28,1))^2*(90-A28-2)</f>
        <v>2.3204307239782729E-2</v>
      </c>
      <c r="E28" s="20">
        <f t="shared" ca="1" si="0"/>
        <v>2.7610097557475399E-2</v>
      </c>
    </row>
    <row r="29" spans="1:5" ht="15" customHeight="1" x14ac:dyDescent="0.35">
      <c r="A29" s="7">
        <v>37</v>
      </c>
      <c r="B29" s="18">
        <f>'Growth Analysis'!A42</f>
        <v>44617</v>
      </c>
      <c r="C29" s="20">
        <f ca="1">STEYX(OFFSET('Growth Analysis'!$D$5,0,0,A29,1),OFFSET('Growth Analysis'!$B$5,0,0,A29,1))^2*(A29-2)</f>
        <v>4.5784222962963611E-3</v>
      </c>
      <c r="D29" s="20">
        <f ca="1">STEYX(OFFSET('Growth Analysis'!$D$5,A29,0,90-A29,1),OFFSET('Growth Analysis'!$B$5,A29,0,90-A29,1))^2*(90-A29-2)</f>
        <v>2.2703672588123999E-2</v>
      </c>
      <c r="E29" s="20">
        <f t="shared" ca="1" si="0"/>
        <v>2.728209488442036E-2</v>
      </c>
    </row>
    <row r="30" spans="1:5" ht="15" customHeight="1" x14ac:dyDescent="0.35">
      <c r="A30" s="7">
        <v>38</v>
      </c>
      <c r="B30" s="18">
        <f>'Growth Analysis'!A43</f>
        <v>44645</v>
      </c>
      <c r="C30" s="20">
        <f ca="1">STEYX(OFFSET('Growth Analysis'!$D$5,0,0,A30,1),OFFSET('Growth Analysis'!$B$5,0,0,A30,1))^2*(A30-2)</f>
        <v>5.0316604679811749E-3</v>
      </c>
      <c r="D30" s="20">
        <f ca="1">STEYX(OFFSET('Growth Analysis'!$D$5,A30,0,90-A30,1),OFFSET('Growth Analysis'!$B$5,A30,0,90-A30,1))^2*(90-A30-2)</f>
        <v>2.2281884114640604E-2</v>
      </c>
      <c r="E30" s="20">
        <f t="shared" ca="1" si="0"/>
        <v>2.7313544582621779E-2</v>
      </c>
    </row>
    <row r="31" spans="1:5" ht="15" customHeight="1" x14ac:dyDescent="0.35">
      <c r="A31" s="7">
        <v>39</v>
      </c>
      <c r="B31" s="18">
        <f>'Growth Analysis'!A44</f>
        <v>44673</v>
      </c>
      <c r="C31" s="20">
        <f ca="1">STEYX(OFFSET('Growth Analysis'!$D$5,0,0,A31,1),OFFSET('Growth Analysis'!$B$5,0,0,A31,1))^2*(A31-2)</f>
        <v>6.201731851762037E-3</v>
      </c>
      <c r="D31" s="20">
        <f ca="1">STEYX(OFFSET('Growth Analysis'!$D$5,A31,0,90-A31,1),OFFSET('Growth Analysis'!$B$5,A31,0,90-A31,1))^2*(90-A31-2)</f>
        <v>2.2128520109692355E-2</v>
      </c>
      <c r="E31" s="20">
        <f t="shared" ca="1" si="0"/>
        <v>2.8330251961454393E-2</v>
      </c>
    </row>
    <row r="32" spans="1:5" ht="15" customHeight="1" x14ac:dyDescent="0.35">
      <c r="A32" s="7">
        <v>40</v>
      </c>
      <c r="B32" s="18">
        <f>'Growth Analysis'!A45</f>
        <v>44701</v>
      </c>
      <c r="C32" s="20">
        <f ca="1">STEYX(OFFSET('Growth Analysis'!$D$5,0,0,A32,1),OFFSET('Growth Analysis'!$B$5,0,0,A32,1))^2*(A32-2)</f>
        <v>7.1617956898001323E-3</v>
      </c>
      <c r="D32" s="20">
        <f ca="1">STEYX(OFFSET('Growth Analysis'!$D$5,A32,0,90-A32,1),OFFSET('Growth Analysis'!$B$5,A32,0,90-A32,1))^2*(90-A32-2)</f>
        <v>2.1737263172486809E-2</v>
      </c>
      <c r="E32" s="20">
        <f t="shared" ca="1" si="0"/>
        <v>2.8899058862286942E-2</v>
      </c>
    </row>
    <row r="33" spans="1:5" ht="15" customHeight="1" x14ac:dyDescent="0.35">
      <c r="A33" s="7">
        <v>41</v>
      </c>
      <c r="B33" s="18">
        <f>'Growth Analysis'!A46</f>
        <v>44729</v>
      </c>
      <c r="C33" s="20">
        <f ca="1">STEYX(OFFSET('Growth Analysis'!$D$5,0,0,A33,1),OFFSET('Growth Analysis'!$B$5,0,0,A33,1))^2*(A33-2)</f>
        <v>8.5755724047023325E-3</v>
      </c>
      <c r="D33" s="20">
        <f ca="1">STEYX(OFFSET('Growth Analysis'!$D$5,A33,0,90-A33,1),OFFSET('Growth Analysis'!$B$5,A33,0,90-A33,1))^2*(90-A33-2)</f>
        <v>2.1437710915226615E-2</v>
      </c>
      <c r="E33" s="20">
        <f t="shared" ca="1" si="0"/>
        <v>3.0013283319928946E-2</v>
      </c>
    </row>
    <row r="34" spans="1:5" ht="15" customHeight="1" x14ac:dyDescent="0.35">
      <c r="A34" s="7">
        <v>42</v>
      </c>
      <c r="B34" s="18">
        <f>'Growth Analysis'!A47</f>
        <v>44771</v>
      </c>
      <c r="C34" s="20">
        <f ca="1">STEYX(OFFSET('Growth Analysis'!$D$5,0,0,A34,1),OFFSET('Growth Analysis'!$B$5,0,0,A34,1))^2*(A34-2)</f>
        <v>1.0822551606909205E-2</v>
      </c>
      <c r="D34" s="20">
        <f ca="1">STEYX(OFFSET('Growth Analysis'!$D$5,A34,0,90-A34,1),OFFSET('Growth Analysis'!$B$5,A34,0,90-A34,1))^2*(90-A34-2)</f>
        <v>2.132958785357042E-2</v>
      </c>
      <c r="E34" s="20">
        <f t="shared" ca="1" si="0"/>
        <v>3.2152139460479623E-2</v>
      </c>
    </row>
    <row r="35" spans="1:5" ht="15" customHeight="1" x14ac:dyDescent="0.35">
      <c r="A35" s="7">
        <v>43</v>
      </c>
      <c r="B35" s="18">
        <f>'Growth Analysis'!A48</f>
        <v>44799</v>
      </c>
      <c r="C35" s="20">
        <f ca="1">STEYX(OFFSET('Growth Analysis'!$D$5,0,0,A35,1),OFFSET('Growth Analysis'!$B$5,0,0,A35,1))^2*(A35-2)</f>
        <v>1.215977528110615E-2</v>
      </c>
      <c r="D35" s="20">
        <f ca="1">STEYX(OFFSET('Growth Analysis'!$D$5,A35,0,90-A35,1),OFFSET('Growth Analysis'!$B$5,A35,0,90-A35,1))^2*(90-A35-2)</f>
        <v>2.0734046836254238E-2</v>
      </c>
      <c r="E35" s="20">
        <f t="shared" ca="1" si="0"/>
        <v>3.2893822117360388E-2</v>
      </c>
    </row>
    <row r="36" spans="1:5" ht="15" customHeight="1" x14ac:dyDescent="0.35">
      <c r="A36" s="7">
        <v>44</v>
      </c>
      <c r="B36" s="18">
        <f>'Growth Analysis'!A49</f>
        <v>44827</v>
      </c>
      <c r="C36" s="20">
        <f ca="1">STEYX(OFFSET('Growth Analysis'!$D$5,0,0,A36,1),OFFSET('Growth Analysis'!$B$5,0,0,A36,1))^2*(A36-2)</f>
        <v>1.3355358184736047E-2</v>
      </c>
      <c r="D36" s="20">
        <f ca="1">STEYX(OFFSET('Growth Analysis'!$D$5,A36,0,90-A36,1),OFFSET('Growth Analysis'!$B$5,A36,0,90-A36,1))^2*(90-A36-2)</f>
        <v>1.9774674277643452E-2</v>
      </c>
      <c r="E36" s="20">
        <f t="shared" ca="1" si="0"/>
        <v>3.31300324623795E-2</v>
      </c>
    </row>
    <row r="37" spans="1:5" ht="15" customHeight="1" x14ac:dyDescent="0.35">
      <c r="A37" s="7">
        <v>45</v>
      </c>
      <c r="B37" s="18">
        <f>'Growth Analysis'!A50</f>
        <v>44855</v>
      </c>
      <c r="C37" s="20">
        <f ca="1">STEYX(OFFSET('Growth Analysis'!$D$5,0,0,A37,1),OFFSET('Growth Analysis'!$B$5,0,0,A37,1))^2*(A37-2)</f>
        <v>1.4868391783971698E-2</v>
      </c>
      <c r="D37" s="20">
        <f ca="1">STEYX(OFFSET('Growth Analysis'!$D$5,A37,0,90-A37,1),OFFSET('Growth Analysis'!$B$5,A37,0,90-A37,1))^2*(90-A37-2)</f>
        <v>1.8791272237126403E-2</v>
      </c>
      <c r="E37" s="20">
        <f t="shared" ref="E37:E68" ca="1" si="1">C37+D37</f>
        <v>3.3659664021098101E-2</v>
      </c>
    </row>
    <row r="38" spans="1:5" ht="15" customHeight="1" x14ac:dyDescent="0.35">
      <c r="A38" s="7">
        <v>46</v>
      </c>
      <c r="B38" s="18">
        <f>'Growth Analysis'!A51</f>
        <v>44883</v>
      </c>
      <c r="C38" s="20">
        <f ca="1">STEYX(OFFSET('Growth Analysis'!$D$5,0,0,A38,1),OFFSET('Growth Analysis'!$B$5,0,0,A38,1))^2*(A38-2)</f>
        <v>1.72465992813845E-2</v>
      </c>
      <c r="D38" s="20">
        <f ca="1">STEYX(OFFSET('Growth Analysis'!$D$5,A38,0,90-A38,1),OFFSET('Growth Analysis'!$B$5,A38,0,90-A38,1))^2*(90-A38-2)</f>
        <v>1.8154390614852023E-2</v>
      </c>
      <c r="E38" s="20">
        <f t="shared" ca="1" si="1"/>
        <v>3.5400989896236523E-2</v>
      </c>
    </row>
    <row r="39" spans="1:5" ht="15" customHeight="1" x14ac:dyDescent="0.35">
      <c r="A39" s="7">
        <v>47</v>
      </c>
      <c r="B39" s="18">
        <f>'Growth Analysis'!A52</f>
        <v>44925</v>
      </c>
      <c r="C39" s="20">
        <f ca="1">STEYX(OFFSET('Growth Analysis'!$D$5,0,0,A39,1),OFFSET('Growth Analysis'!$B$5,0,0,A39,1))^2*(A39-2)</f>
        <v>1.9138730425879717E-2</v>
      </c>
      <c r="D39" s="20">
        <f ca="1">STEYX(OFFSET('Growth Analysis'!$D$5,A39,0,90-A39,1),OFFSET('Growth Analysis'!$B$5,A39,0,90-A39,1))^2*(90-A39-2)</f>
        <v>1.6991617620197075E-2</v>
      </c>
      <c r="E39" s="20">
        <f t="shared" ca="1" si="1"/>
        <v>3.6130348046076788E-2</v>
      </c>
    </row>
    <row r="40" spans="1:5" ht="15" customHeight="1" x14ac:dyDescent="0.35">
      <c r="A40" s="7">
        <v>48</v>
      </c>
      <c r="B40" s="18">
        <f>'Growth Analysis'!A53</f>
        <v>44953</v>
      </c>
      <c r="C40" s="20">
        <f ca="1">STEYX(OFFSET('Growth Analysis'!$D$5,0,0,A40,1),OFFSET('Growth Analysis'!$B$5,0,0,A40,1))^2*(A40-2)</f>
        <v>2.2747048931589908E-2</v>
      </c>
      <c r="D40" s="20">
        <f ca="1">STEYX(OFFSET('Growth Analysis'!$D$5,A40,0,90-A40,1),OFFSET('Growth Analysis'!$B$5,A40,0,90-A40,1))^2*(90-A40-2)</f>
        <v>1.6578077055373175E-2</v>
      </c>
      <c r="E40" s="20">
        <f t="shared" ca="1" si="1"/>
        <v>3.9325125986963083E-2</v>
      </c>
    </row>
    <row r="41" spans="1:5" ht="15" customHeight="1" x14ac:dyDescent="0.35">
      <c r="A41" s="7">
        <v>49</v>
      </c>
      <c r="B41" s="18">
        <f>'Growth Analysis'!A54</f>
        <v>44981</v>
      </c>
      <c r="C41" s="20">
        <f ca="1">STEYX(OFFSET('Growth Analysis'!$D$5,0,0,A41,1),OFFSET('Growth Analysis'!$B$5,0,0,A41,1))^2*(A41-2)</f>
        <v>2.5369793902541352E-2</v>
      </c>
      <c r="D41" s="20">
        <f ca="1">STEYX(OFFSET('Growth Analysis'!$D$5,A41,0,90-A41,1),OFFSET('Growth Analysis'!$B$5,A41,0,90-A41,1))^2*(90-A41-2)</f>
        <v>1.5587402183213084E-2</v>
      </c>
      <c r="E41" s="20">
        <f t="shared" ca="1" si="1"/>
        <v>4.0957196085754433E-2</v>
      </c>
    </row>
    <row r="42" spans="1:5" ht="15" customHeight="1" x14ac:dyDescent="0.35">
      <c r="A42" s="7">
        <v>50</v>
      </c>
      <c r="B42" s="18">
        <f>'Growth Analysis'!A55</f>
        <v>45009</v>
      </c>
      <c r="C42" s="20">
        <f ca="1">STEYX(OFFSET('Growth Analysis'!$D$5,0,0,A42,1),OFFSET('Growth Analysis'!$B$5,0,0,A42,1))^2*(A42-2)</f>
        <v>2.7759771963677404E-2</v>
      </c>
      <c r="D42" s="20">
        <f ca="1">STEYX(OFFSET('Growth Analysis'!$D$5,A42,0,90-A42,1),OFFSET('Growth Analysis'!$B$5,A42,0,90-A42,1))^2*(90-A42-2)</f>
        <v>1.4197537565066143E-2</v>
      </c>
      <c r="E42" s="20">
        <f t="shared" ca="1" si="1"/>
        <v>4.1957309528743547E-2</v>
      </c>
    </row>
    <row r="43" spans="1:5" ht="15" customHeight="1" x14ac:dyDescent="0.35">
      <c r="A43" s="7">
        <v>51</v>
      </c>
      <c r="B43" s="18">
        <f>'Growth Analysis'!A56</f>
        <v>45037</v>
      </c>
      <c r="C43" s="20">
        <f ca="1">STEYX(OFFSET('Growth Analysis'!$D$5,0,0,A43,1),OFFSET('Growth Analysis'!$B$5,0,0,A43,1))^2*(A43-2)</f>
        <v>3.0736315823355009E-2</v>
      </c>
      <c r="D43" s="20">
        <f ca="1">STEYX(OFFSET('Growth Analysis'!$D$5,A43,0,90-A43,1),OFFSET('Growth Analysis'!$B$5,A43,0,90-A43,1))^2*(90-A43-2)</f>
        <v>1.2969243623829448E-2</v>
      </c>
      <c r="E43" s="20">
        <f t="shared" ca="1" si="1"/>
        <v>4.3705559447184461E-2</v>
      </c>
    </row>
    <row r="44" spans="1:5" ht="15" customHeight="1" x14ac:dyDescent="0.35">
      <c r="A44" s="7">
        <v>52</v>
      </c>
      <c r="B44" s="18">
        <f>'Growth Analysis'!A57</f>
        <v>45065</v>
      </c>
      <c r="C44" s="20">
        <f ca="1">STEYX(OFFSET('Growth Analysis'!$D$5,0,0,A44,1),OFFSET('Growth Analysis'!$B$5,0,0,A44,1))^2*(A44-2)</f>
        <v>3.394780802681252E-2</v>
      </c>
      <c r="D44" s="20">
        <f ca="1">STEYX(OFFSET('Growth Analysis'!$D$5,A44,0,90-A44,1),OFFSET('Growth Analysis'!$B$5,A44,0,90-A44,1))^2*(90-A44-2)</f>
        <v>1.1680036679175167E-2</v>
      </c>
      <c r="E44" s="20">
        <f t="shared" ca="1" si="1"/>
        <v>4.5627844705987686E-2</v>
      </c>
    </row>
    <row r="45" spans="1:5" ht="15" customHeight="1" x14ac:dyDescent="0.35">
      <c r="A45" s="7">
        <v>53</v>
      </c>
      <c r="B45" s="18">
        <f>'Growth Analysis'!A58</f>
        <v>45107</v>
      </c>
      <c r="C45" s="20">
        <f ca="1">STEYX(OFFSET('Growth Analysis'!$D$5,0,0,A45,1),OFFSET('Growth Analysis'!$B$5,0,0,A45,1))^2*(A45-2)</f>
        <v>3.7093040978590341E-2</v>
      </c>
      <c r="D45" s="20">
        <f ca="1">STEYX(OFFSET('Growth Analysis'!$D$5,A45,0,90-A45,1),OFFSET('Growth Analysis'!$B$5,A45,0,90-A45,1))^2*(90-A45-2)</f>
        <v>1.0116038275286288E-2</v>
      </c>
      <c r="E45" s="20">
        <f t="shared" ca="1" si="1"/>
        <v>4.7209079253876629E-2</v>
      </c>
    </row>
    <row r="46" spans="1:5" ht="15" customHeight="1" x14ac:dyDescent="0.35">
      <c r="A46" s="7">
        <v>54</v>
      </c>
      <c r="B46" s="18">
        <f>'Growth Analysis'!A59</f>
        <v>45135</v>
      </c>
      <c r="C46" s="20">
        <f ca="1">STEYX(OFFSET('Growth Analysis'!$D$5,0,0,A46,1),OFFSET('Growth Analysis'!$B$5,0,0,A46,1))^2*(A46-2)</f>
        <v>4.2062191985049235E-2</v>
      </c>
      <c r="D46" s="20">
        <f ca="1">STEYX(OFFSET('Growth Analysis'!$D$5,A46,0,90-A46,1),OFFSET('Growth Analysis'!$B$5,A46,0,90-A46,1))^2*(90-A46-2)</f>
        <v>9.3817110323523023E-3</v>
      </c>
      <c r="E46" s="20">
        <f t="shared" ca="1" si="1"/>
        <v>5.1443903017401538E-2</v>
      </c>
    </row>
    <row r="47" spans="1:5" ht="15" customHeight="1" x14ac:dyDescent="0.35">
      <c r="A47" s="7">
        <v>55</v>
      </c>
      <c r="B47" s="18">
        <f>'Growth Analysis'!A60</f>
        <v>45163</v>
      </c>
      <c r="C47" s="20">
        <f ca="1">STEYX(OFFSET('Growth Analysis'!$D$5,0,0,A47,1),OFFSET('Growth Analysis'!$B$5,0,0,A47,1))^2*(A47-2)</f>
        <v>4.9301001709095571E-2</v>
      </c>
      <c r="D47" s="20">
        <f ca="1">STEYX(OFFSET('Growth Analysis'!$D$5,A47,0,90-A47,1),OFFSET('Growth Analysis'!$B$5,A47,0,90-A47,1))^2*(90-A47-2)</f>
        <v>9.2430805757003891E-3</v>
      </c>
      <c r="E47" s="20">
        <f t="shared" ca="1" si="1"/>
        <v>5.8544082284795962E-2</v>
      </c>
    </row>
    <row r="48" spans="1:5" ht="15" customHeight="1" x14ac:dyDescent="0.35">
      <c r="A48" s="7">
        <v>56</v>
      </c>
      <c r="B48" s="18">
        <f>'Growth Analysis'!A61</f>
        <v>45191</v>
      </c>
      <c r="C48" s="20">
        <f ca="1">STEYX(OFFSET('Growth Analysis'!$D$5,0,0,A48,1),OFFSET('Growth Analysis'!$B$5,0,0,A48,1))^2*(A48-2)</f>
        <v>5.5758186767071553E-2</v>
      </c>
      <c r="D48" s="20">
        <f ca="1">STEYX(OFFSET('Growth Analysis'!$D$5,A48,0,90-A48,1),OFFSET('Growth Analysis'!$B$5,A48,0,90-A48,1))^2*(90-A48-2)</f>
        <v>9.0292670946860425E-3</v>
      </c>
      <c r="E48" s="20">
        <f t="shared" ca="1" si="1"/>
        <v>6.4787453861757591E-2</v>
      </c>
    </row>
    <row r="49" spans="1:5" ht="15" customHeight="1" x14ac:dyDescent="0.35">
      <c r="A49" s="7">
        <v>57</v>
      </c>
      <c r="B49" s="18">
        <f>'Growth Analysis'!A62</f>
        <v>45219</v>
      </c>
      <c r="C49" s="20">
        <f ca="1">STEYX(OFFSET('Growth Analysis'!$D$5,0,0,A49,1),OFFSET('Growth Analysis'!$B$5,0,0,A49,1))^2*(A49-2)</f>
        <v>6.2559998950087556E-2</v>
      </c>
      <c r="D49" s="20">
        <f ca="1">STEYX(OFFSET('Growth Analysis'!$D$5,A49,0,90-A49,1),OFFSET('Growth Analysis'!$B$5,A49,0,90-A49,1))^2*(90-A49-2)</f>
        <v>8.9173867137818386E-3</v>
      </c>
      <c r="E49" s="20">
        <f t="shared" ca="1" si="1"/>
        <v>7.1477385663869394E-2</v>
      </c>
    </row>
    <row r="50" spans="1:5" ht="15" customHeight="1" x14ac:dyDescent="0.35">
      <c r="A50" s="7">
        <v>58</v>
      </c>
      <c r="B50" s="18">
        <f>'Growth Analysis'!A63</f>
        <v>45247</v>
      </c>
      <c r="C50" s="20">
        <f ca="1">STEYX(OFFSET('Growth Analysis'!$D$5,0,0,A50,1),OFFSET('Growth Analysis'!$B$5,0,0,A50,1))^2*(A50-2)</f>
        <v>7.1889543202103154E-2</v>
      </c>
      <c r="D50" s="20">
        <f ca="1">STEYX(OFFSET('Growth Analysis'!$D$5,A50,0,90-A50,1),OFFSET('Growth Analysis'!$B$5,A50,0,90-A50,1))^2*(90-A50-2)</f>
        <v>8.8621867751709216E-3</v>
      </c>
      <c r="E50" s="20">
        <f t="shared" ca="1" si="1"/>
        <v>8.0751729977274075E-2</v>
      </c>
    </row>
    <row r="51" spans="1:5" ht="15" customHeight="1" x14ac:dyDescent="0.35">
      <c r="A51" s="7">
        <v>59</v>
      </c>
      <c r="B51" s="18">
        <f>'Growth Analysis'!A64</f>
        <v>45289</v>
      </c>
      <c r="C51" s="20">
        <f ca="1">STEYX(OFFSET('Growth Analysis'!$D$5,0,0,A51,1),OFFSET('Growth Analysis'!$B$5,0,0,A51,1))^2*(A51-2)</f>
        <v>8.1353435793071416E-2</v>
      </c>
      <c r="D51" s="20">
        <f ca="1">STEYX(OFFSET('Growth Analysis'!$D$5,A51,0,90-A51,1),OFFSET('Growth Analysis'!$B$5,A51,0,90-A51,1))^2*(90-A51-2)</f>
        <v>8.6636271344519011E-3</v>
      </c>
      <c r="E51" s="20">
        <f t="shared" ca="1" si="1"/>
        <v>9.0017062927523317E-2</v>
      </c>
    </row>
    <row r="52" spans="1:5" ht="15" customHeight="1" x14ac:dyDescent="0.35">
      <c r="A52" s="7">
        <v>60</v>
      </c>
      <c r="B52" s="18">
        <f>'Growth Analysis'!A65</f>
        <v>45317</v>
      </c>
      <c r="C52" s="20">
        <f ca="1">STEYX(OFFSET('Growth Analysis'!$D$5,0,0,A52,1),OFFSET('Growth Analysis'!$B$5,0,0,A52,1))^2*(A52-2)</f>
        <v>8.969722164464454E-2</v>
      </c>
      <c r="D52" s="20">
        <f ca="1">STEYX(OFFSET('Growth Analysis'!$D$5,A52,0,90-A52,1),OFFSET('Growth Analysis'!$B$5,A52,0,90-A52,1))^2*(90-A52-2)</f>
        <v>8.4558621095619513E-3</v>
      </c>
      <c r="E52" s="20">
        <f t="shared" ca="1" si="1"/>
        <v>9.8153083754206491E-2</v>
      </c>
    </row>
    <row r="53" spans="1:5" ht="15" customHeight="1" x14ac:dyDescent="0.35">
      <c r="A53" s="7">
        <v>61</v>
      </c>
      <c r="B53" s="18">
        <f>'Growth Analysis'!A66</f>
        <v>45345</v>
      </c>
      <c r="C53" s="20">
        <f ca="1">STEYX(OFFSET('Growth Analysis'!$D$5,0,0,A53,1),OFFSET('Growth Analysis'!$B$5,0,0,A53,1))^2*(A53-2)</f>
        <v>9.6482085844237231E-2</v>
      </c>
      <c r="D53" s="20">
        <f ca="1">STEYX(OFFSET('Growth Analysis'!$D$5,A53,0,90-A53,1),OFFSET('Growth Analysis'!$B$5,A53,0,90-A53,1))^2*(90-A53-2)</f>
        <v>8.3344441249343926E-3</v>
      </c>
      <c r="E53" s="20">
        <f t="shared" ca="1" si="1"/>
        <v>0.10481652996917162</v>
      </c>
    </row>
    <row r="54" spans="1:5" ht="15" customHeight="1" x14ac:dyDescent="0.35">
      <c r="A54" s="7">
        <v>62</v>
      </c>
      <c r="B54" s="18">
        <f>'Growth Analysis'!A67</f>
        <v>45373</v>
      </c>
      <c r="C54" s="20">
        <f ca="1">STEYX(OFFSET('Growth Analysis'!$D$5,0,0,A54,1),OFFSET('Growth Analysis'!$B$5,0,0,A54,1))^2*(A54-2)</f>
        <v>0.1027584808598221</v>
      </c>
      <c r="D54" s="20">
        <f ca="1">STEYX(OFFSET('Growth Analysis'!$D$5,A54,0,90-A54,1),OFFSET('Growth Analysis'!$B$5,A54,0,90-A54,1))^2*(90-A54-2)</f>
        <v>8.1661562320173593E-3</v>
      </c>
      <c r="E54" s="20">
        <f t="shared" ca="1" si="1"/>
        <v>0.11092463709183946</v>
      </c>
    </row>
    <row r="55" spans="1:5" ht="15" customHeight="1" x14ac:dyDescent="0.35">
      <c r="A55" s="7">
        <v>63</v>
      </c>
      <c r="B55" s="18">
        <f>'Growth Analysis'!A68</f>
        <v>45401</v>
      </c>
      <c r="C55" s="20">
        <f ca="1">STEYX(OFFSET('Growth Analysis'!$D$5,0,0,A55,1),OFFSET('Growth Analysis'!$B$5,0,0,A55,1))^2*(A55-2)</f>
        <v>0.11050532014541935</v>
      </c>
      <c r="D55" s="20">
        <f ca="1">STEYX(OFFSET('Growth Analysis'!$D$5,A55,0,90-A55,1),OFFSET('Growth Analysis'!$B$5,A55,0,90-A55,1))^2*(90-A55-2)</f>
        <v>7.3669793889963022E-3</v>
      </c>
      <c r="E55" s="20">
        <f t="shared" ca="1" si="1"/>
        <v>0.11787229953441565</v>
      </c>
    </row>
    <row r="56" spans="1:5" ht="15" customHeight="1" x14ac:dyDescent="0.35">
      <c r="A56" s="7">
        <v>64</v>
      </c>
      <c r="B56" s="18">
        <f>'Growth Analysis'!A69</f>
        <v>45443</v>
      </c>
      <c r="C56" s="20">
        <f ca="1">STEYX(OFFSET('Growth Analysis'!$D$5,0,0,A56,1),OFFSET('Growth Analysis'!$B$5,0,0,A56,1))^2*(A56-2)</f>
        <v>0.11521212603161458</v>
      </c>
      <c r="D56" s="20">
        <f ca="1">STEYX(OFFSET('Growth Analysis'!$D$5,A56,0,90-A56,1),OFFSET('Growth Analysis'!$B$5,A56,0,90-A56,1))^2*(90-A56-2)</f>
        <v>7.1373477891431567E-3</v>
      </c>
      <c r="E56" s="20">
        <f t="shared" ca="1" si="1"/>
        <v>0.12234947382075774</v>
      </c>
    </row>
    <row r="57" spans="1:5" ht="15" customHeight="1" x14ac:dyDescent="0.35">
      <c r="A57" s="7">
        <v>65</v>
      </c>
      <c r="B57" s="18">
        <f>'Growth Analysis'!A70</f>
        <v>45471</v>
      </c>
      <c r="C57" s="20">
        <f ca="1">STEYX(OFFSET('Growth Analysis'!$D$5,0,0,A57,1),OFFSET('Growth Analysis'!$B$5,0,0,A57,1))^2*(A57-2)</f>
        <v>0.12053566121087679</v>
      </c>
      <c r="D57" s="20">
        <f ca="1">STEYX(OFFSET('Growth Analysis'!$D$5,A57,0,90-A57,1),OFFSET('Growth Analysis'!$B$5,A57,0,90-A57,1))^2*(90-A57-2)</f>
        <v>6.508354982484978E-3</v>
      </c>
      <c r="E57" s="20">
        <f t="shared" ca="1" si="1"/>
        <v>0.12704401619336178</v>
      </c>
    </row>
    <row r="58" spans="1:5" ht="15" customHeight="1" x14ac:dyDescent="0.35">
      <c r="A58" s="7">
        <v>66</v>
      </c>
      <c r="B58" s="18">
        <f>'Growth Analysis'!A71</f>
        <v>45499</v>
      </c>
      <c r="C58" s="20">
        <f ca="1">STEYX(OFFSET('Growth Analysis'!$D$5,0,0,A58,1),OFFSET('Growth Analysis'!$B$5,0,0,A58,1))^2*(A58-2)</f>
        <v>0.12483327293417923</v>
      </c>
      <c r="D58" s="20">
        <f ca="1">STEYX(OFFSET('Growth Analysis'!$D$5,A58,0,90-A58,1),OFFSET('Growth Analysis'!$B$5,A58,0,90-A58,1))^2*(90-A58-2)</f>
        <v>5.9426996560432155E-3</v>
      </c>
      <c r="E58" s="20">
        <f t="shared" ca="1" si="1"/>
        <v>0.13077597259022244</v>
      </c>
    </row>
    <row r="59" spans="1:5" ht="15" customHeight="1" x14ac:dyDescent="0.35">
      <c r="A59" s="7">
        <v>67</v>
      </c>
      <c r="B59" s="18">
        <f>'Growth Analysis'!A72</f>
        <v>45527</v>
      </c>
      <c r="C59" s="20">
        <f ca="1">STEYX(OFFSET('Growth Analysis'!$D$5,0,0,A59,1),OFFSET('Growth Analysis'!$B$5,0,0,A59,1))^2*(A59-2)</f>
        <v>0.12725226625343164</v>
      </c>
      <c r="D59" s="20">
        <f ca="1">STEYX(OFFSET('Growth Analysis'!$D$5,A59,0,90-A59,1),OFFSET('Growth Analysis'!$B$5,A59,0,90-A59,1))^2*(90-A59-2)</f>
        <v>5.806998793825179E-3</v>
      </c>
      <c r="E59" s="20">
        <f t="shared" ca="1" si="1"/>
        <v>0.13305926504725682</v>
      </c>
    </row>
    <row r="60" spans="1:5" ht="15" customHeight="1" x14ac:dyDescent="0.35">
      <c r="A60" s="7">
        <v>68</v>
      </c>
      <c r="B60" s="18">
        <f>'Growth Analysis'!A73</f>
        <v>45555</v>
      </c>
      <c r="C60" s="20">
        <f ca="1">STEYX(OFFSET('Growth Analysis'!$D$5,0,0,A60,1),OFFSET('Growth Analysis'!$B$5,0,0,A60,1))^2*(A60-2)</f>
        <v>0.12928134134119551</v>
      </c>
      <c r="D60" s="20">
        <f ca="1">STEYX(OFFSET('Growth Analysis'!$D$5,A60,0,90-A60,1),OFFSET('Growth Analysis'!$B$5,A60,0,90-A60,1))^2*(90-A60-2)</f>
        <v>5.7083259628825525E-3</v>
      </c>
      <c r="E60" s="20">
        <f t="shared" ca="1" si="1"/>
        <v>0.13498966730407808</v>
      </c>
    </row>
    <row r="61" spans="1:5" ht="15" customHeight="1" x14ac:dyDescent="0.35">
      <c r="A61" s="7">
        <v>69</v>
      </c>
      <c r="B61" s="18">
        <f>'Growth Analysis'!A74</f>
        <v>45583</v>
      </c>
      <c r="C61" s="20">
        <f ca="1">STEYX(OFFSET('Growth Analysis'!$D$5,0,0,A61,1),OFFSET('Growth Analysis'!$B$5,0,0,A61,1))^2*(A61-2)</f>
        <v>0.13120690398612345</v>
      </c>
      <c r="D61" s="20">
        <f ca="1">STEYX(OFFSET('Growth Analysis'!$D$5,A61,0,90-A61,1),OFFSET('Growth Analysis'!$B$5,A61,0,90-A61,1))^2*(90-A61-2)</f>
        <v>5.5883515005121787E-3</v>
      </c>
      <c r="E61" s="20">
        <f t="shared" ca="1" si="1"/>
        <v>0.13679525548663563</v>
      </c>
    </row>
    <row r="62" spans="1:5" ht="15" customHeight="1" x14ac:dyDescent="0.35">
      <c r="A62" s="7">
        <v>70</v>
      </c>
      <c r="B62" s="18">
        <f>'Growth Analysis'!A75</f>
        <v>45625</v>
      </c>
      <c r="C62" s="20">
        <f ca="1">STEYX(OFFSET('Growth Analysis'!$D$5,0,0,A62,1),OFFSET('Growth Analysis'!$B$5,0,0,A62,1))^2*(A62-2)</f>
        <v>0.13361482806696134</v>
      </c>
      <c r="D62" s="20">
        <f ca="1">STEYX(OFFSET('Growth Analysis'!$D$5,A62,0,90-A62,1),OFFSET('Growth Analysis'!$B$5,A62,0,90-A62,1))^2*(90-A62-2)</f>
        <v>5.2164075089966714E-3</v>
      </c>
      <c r="E62" s="20">
        <f t="shared" ca="1" si="1"/>
        <v>0.13883123557595803</v>
      </c>
    </row>
    <row r="63" spans="1:5" ht="15" customHeight="1" x14ac:dyDescent="0.35">
      <c r="A63" s="7">
        <v>71</v>
      </c>
      <c r="B63" s="18">
        <f>'Growth Analysis'!A76</f>
        <v>45653</v>
      </c>
      <c r="C63" s="20">
        <f ca="1">STEYX(OFFSET('Growth Analysis'!$D$5,0,0,A63,1),OFFSET('Growth Analysis'!$B$5,0,0,A63,1))^2*(A63-2)</f>
        <v>0.13540871809176602</v>
      </c>
      <c r="D63" s="20">
        <f ca="1">STEYX(OFFSET('Growth Analysis'!$D$5,A63,0,90-A63,1),OFFSET('Growth Analysis'!$B$5,A63,0,90-A63,1))^2*(90-A63-2)</f>
        <v>4.9572079726273458E-3</v>
      </c>
      <c r="E63" s="20">
        <f t="shared" ca="1" si="1"/>
        <v>0.14036592606439338</v>
      </c>
    </row>
    <row r="64" spans="1:5" ht="15" customHeight="1" x14ac:dyDescent="0.35">
      <c r="A64" s="7">
        <v>72</v>
      </c>
      <c r="B64" s="18">
        <f>'Growth Analysis'!A77</f>
        <v>45681</v>
      </c>
      <c r="C64" s="20">
        <f ca="1">STEYX(OFFSET('Growth Analysis'!$D$5,0,0,A64,1),OFFSET('Growth Analysis'!$B$5,0,0,A64,1))^2*(A64-2)</f>
        <v>0.13733831766410942</v>
      </c>
      <c r="D64" s="20">
        <f ca="1">STEYX(OFFSET('Growth Analysis'!$D$5,A64,0,90-A64,1),OFFSET('Growth Analysis'!$B$5,A64,0,90-A64,1))^2*(90-A64-2)</f>
        <v>4.5084525593461896E-3</v>
      </c>
      <c r="E64" s="20">
        <f t="shared" ca="1" si="1"/>
        <v>0.1418467702234556</v>
      </c>
    </row>
    <row r="65" spans="1:5" ht="15" customHeight="1" x14ac:dyDescent="0.35">
      <c r="A65" s="7">
        <v>73</v>
      </c>
      <c r="B65" s="18">
        <f>'Growth Analysis'!A78</f>
        <v>45709</v>
      </c>
      <c r="C65" s="20">
        <f ca="1">STEYX(OFFSET('Growth Analysis'!$D$5,0,0,A65,1),OFFSET('Growth Analysis'!$B$5,0,0,A65,1))^2*(A65-2)</f>
        <v>0.13888530391263343</v>
      </c>
      <c r="D65" s="20">
        <f ca="1">STEYX(OFFSET('Growth Analysis'!$D$5,A65,0,90-A65,1),OFFSET('Growth Analysis'!$B$5,A65,0,90-A65,1))^2*(90-A65-2)</f>
        <v>4.0934967230696756E-3</v>
      </c>
      <c r="E65" s="20">
        <f t="shared" ca="1" si="1"/>
        <v>0.14297880063570312</v>
      </c>
    </row>
    <row r="66" spans="1:5" ht="15" customHeight="1" x14ac:dyDescent="0.35">
      <c r="A66" s="7">
        <v>74</v>
      </c>
      <c r="B66" s="18">
        <f>'Growth Analysis'!A79</f>
        <v>45737</v>
      </c>
      <c r="C66" s="20">
        <f ca="1">STEYX(OFFSET('Growth Analysis'!$D$5,0,0,A66,1),OFFSET('Growth Analysis'!$B$5,0,0,A66,1))^2*(A66-2)</f>
        <v>0.14064981745992045</v>
      </c>
      <c r="D66" s="20">
        <f ca="1">STEYX(OFFSET('Growth Analysis'!$D$5,A66,0,90-A66,1),OFFSET('Growth Analysis'!$B$5,A66,0,90-A66,1))^2*(90-A66-2)</f>
        <v>3.3447906277760194E-3</v>
      </c>
      <c r="E66" s="20">
        <f t="shared" ca="1" si="1"/>
        <v>0.14399460808769646</v>
      </c>
    </row>
    <row r="67" spans="1:5" ht="15" customHeight="1" x14ac:dyDescent="0.35">
      <c r="A67" s="7">
        <v>75</v>
      </c>
      <c r="B67" s="18">
        <f>'Growth Analysis'!A80</f>
        <v>45765</v>
      </c>
      <c r="C67" s="20">
        <f ca="1">STEYX(OFFSET('Growth Analysis'!$D$5,0,0,A67,1),OFFSET('Growth Analysis'!$B$5,0,0,A67,1))^2*(A67-2)</f>
        <v>0.14270499903272874</v>
      </c>
      <c r="D67" s="20">
        <f ca="1">STEYX(OFFSET('Growth Analysis'!$D$5,A67,0,90-A67,1),OFFSET('Growth Analysis'!$B$5,A67,0,90-A67,1))^2*(90-A67-2)</f>
        <v>1.975501032924043E-3</v>
      </c>
      <c r="E67" s="20">
        <f t="shared" ca="1" si="1"/>
        <v>0.14468050006565278</v>
      </c>
    </row>
    <row r="68" spans="1:5" ht="15" customHeight="1" x14ac:dyDescent="0.35">
      <c r="A68" s="7">
        <v>76</v>
      </c>
      <c r="B68" s="18">
        <f>'Growth Analysis'!A81</f>
        <v>45807</v>
      </c>
      <c r="C68" s="20">
        <f ca="1">STEYX(OFFSET('Growth Analysis'!$D$5,0,0,A68,1),OFFSET('Growth Analysis'!$B$5,0,0,A68,1))^2*(A68-2)</f>
        <v>0.14346954694868244</v>
      </c>
      <c r="D68" s="20">
        <f ca="1">STEYX(OFFSET('Growth Analysis'!$D$5,A68,0,90-A68,1),OFFSET('Growth Analysis'!$B$5,A68,0,90-A68,1))^2*(90-A68-2)</f>
        <v>1.3703840131808961E-3</v>
      </c>
      <c r="E68" s="20">
        <f t="shared" ca="1" si="1"/>
        <v>0.14483993096186334</v>
      </c>
    </row>
    <row r="70" spans="1:5" ht="15" customHeight="1" x14ac:dyDescent="0.35">
      <c r="A70" s="5" t="s">
        <v>84</v>
      </c>
      <c r="B70" s="28">
        <f ca="1">MIN(E5:E68)</f>
        <v>2.6685742694187067E-2</v>
      </c>
    </row>
    <row r="71" spans="1:5" ht="15" customHeight="1" x14ac:dyDescent="0.35">
      <c r="A71" s="5" t="s">
        <v>85</v>
      </c>
      <c r="B71" s="29">
        <f ca="1">INDEX(B5:B68,MATCH(B70,E5:E68,0))</f>
        <v>44561</v>
      </c>
    </row>
    <row r="72" spans="1:5" ht="15" customHeight="1" x14ac:dyDescent="0.35">
      <c r="A72" s="7" t="s">
        <v>86</v>
      </c>
      <c r="B72" s="7">
        <f ca="1">INDEX(A5:A68,MATCH(B70,E5:E68,0))</f>
        <v>35</v>
      </c>
    </row>
    <row r="73" spans="1:5" ht="15" customHeight="1" x14ac:dyDescent="0.35">
      <c r="A73" s="7" t="s">
        <v>87</v>
      </c>
      <c r="B73" s="22">
        <f ca="1">SLOPE(OFFSET('Growth Analysis'!$D$5,0,0,B72,1),OFFSET('Growth Analysis'!$B$5,0,0,B72,1))*100</f>
        <v>0.48987926250127845</v>
      </c>
    </row>
    <row r="74" spans="1:5" ht="15" customHeight="1" x14ac:dyDescent="0.35">
      <c r="A74" s="7" t="s">
        <v>88</v>
      </c>
      <c r="B74" s="22">
        <f ca="1">SLOPE(OFFSET('Growth Analysis'!$D$5,B72,0,90-B72,1),OFFSET('Growth Analysis'!$B$5,B72,0,90-B72,1))*100</f>
        <v>1.1710310758690321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zoomScaleNormal="100" workbookViewId="0">
      <pane ySplit="4" topLeftCell="A5" activePane="bottomLeft" state="frozen"/>
      <selection pane="bottomLeft" activeCell="A2" sqref="A2"/>
    </sheetView>
  </sheetViews>
  <sheetFormatPr defaultColWidth="8.6328125" defaultRowHeight="14.5" x14ac:dyDescent="0.35"/>
  <cols>
    <col min="1" max="1" width="16" style="3" customWidth="1"/>
    <col min="2" max="3" width="22" style="3" customWidth="1"/>
    <col min="4" max="4" width="12" style="3" customWidth="1"/>
    <col min="5" max="5" width="18" style="3" customWidth="1"/>
    <col min="6" max="7" width="12" style="3" customWidth="1"/>
    <col min="8" max="8" width="26" style="3" customWidth="1"/>
  </cols>
  <sheetData>
    <row r="1" spans="1:6" ht="17.25" customHeight="1" x14ac:dyDescent="0.4">
      <c r="A1" s="14" t="s">
        <v>89</v>
      </c>
    </row>
    <row r="2" spans="1:6" ht="15" customHeight="1" x14ac:dyDescent="0.35">
      <c r="A2" s="15"/>
    </row>
    <row r="4" spans="1:6" ht="15" customHeight="1" x14ac:dyDescent="0.35">
      <c r="A4" s="6" t="s">
        <v>22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</row>
    <row r="5" spans="1:6" ht="15" customHeight="1" x14ac:dyDescent="0.35">
      <c r="A5" s="18">
        <f>'Growth Analysis'!A5</f>
        <v>43483</v>
      </c>
      <c r="B5" s="30">
        <f>'Growth Analysis'!B5</f>
        <v>0</v>
      </c>
      <c r="C5" s="21">
        <f>'Raw Data'!E5/'Raw Data'!D5*100</f>
        <v>11.698729366651451</v>
      </c>
      <c r="D5" s="21">
        <f>'Raw Data'!F5/'Raw Data'!D5*100</f>
        <v>29.318960152443978</v>
      </c>
      <c r="E5" s="21">
        <f>'Raw Data'!J5/'Raw Data'!D5*100</f>
        <v>23.732051580062681</v>
      </c>
      <c r="F5" s="21">
        <f>'Raw Data'!M5/'Raw Data'!D5*100</f>
        <v>24.019817233310942</v>
      </c>
    </row>
    <row r="6" spans="1:6" ht="15" customHeight="1" x14ac:dyDescent="0.35">
      <c r="A6" s="18">
        <f>'Growth Analysis'!A6</f>
        <v>43511</v>
      </c>
      <c r="B6" s="30">
        <f>'Growth Analysis'!B6</f>
        <v>1</v>
      </c>
      <c r="C6" s="21">
        <f>'Raw Data'!E6/'Raw Data'!D6*100</f>
        <v>11.66278469530001</v>
      </c>
      <c r="D6" s="21">
        <f>'Raw Data'!F6/'Raw Data'!D6*100</f>
        <v>29.272443635863247</v>
      </c>
      <c r="E6" s="21">
        <f>'Raw Data'!J6/'Raw Data'!D6*100</f>
        <v>23.661673642970548</v>
      </c>
      <c r="F6" s="21">
        <f>'Raw Data'!M6/'Raw Data'!D6*100</f>
        <v>23.956695330605303</v>
      </c>
    </row>
    <row r="7" spans="1:6" ht="15" customHeight="1" x14ac:dyDescent="0.35">
      <c r="A7" s="18">
        <f>'Growth Analysis'!A7</f>
        <v>43553</v>
      </c>
      <c r="B7" s="30">
        <f>'Growth Analysis'!B7</f>
        <v>2</v>
      </c>
      <c r="C7" s="21">
        <f>'Raw Data'!E7/'Raw Data'!D7*100</f>
        <v>11.439404993136213</v>
      </c>
      <c r="D7" s="21">
        <f>'Raw Data'!F7/'Raw Data'!D7*100</f>
        <v>29.162339542661165</v>
      </c>
      <c r="E7" s="21">
        <f>'Raw Data'!J7/'Raw Data'!D7*100</f>
        <v>24.055822838352469</v>
      </c>
      <c r="F7" s="21">
        <f>'Raw Data'!M7/'Raw Data'!D7*100</f>
        <v>23.670266951694689</v>
      </c>
    </row>
    <row r="8" spans="1:6" ht="15" customHeight="1" x14ac:dyDescent="0.35">
      <c r="A8" s="18">
        <f>'Growth Analysis'!A8</f>
        <v>43581</v>
      </c>
      <c r="B8" s="30">
        <f>'Growth Analysis'!B8</f>
        <v>3</v>
      </c>
      <c r="C8" s="21">
        <f>'Raw Data'!E8/'Raw Data'!D8*100</f>
        <v>11.554356284889488</v>
      </c>
      <c r="D8" s="21">
        <f>'Raw Data'!F8/'Raw Data'!D8*100</f>
        <v>29.420993312952863</v>
      </c>
      <c r="E8" s="21">
        <f>'Raw Data'!J8/'Raw Data'!D8*100</f>
        <v>23.797208276531833</v>
      </c>
      <c r="F8" s="21">
        <f>'Raw Data'!M8/'Raw Data'!D8*100</f>
        <v>24.102432436190892</v>
      </c>
    </row>
    <row r="9" spans="1:6" ht="15" customHeight="1" x14ac:dyDescent="0.35">
      <c r="A9" s="18">
        <f>'Growth Analysis'!A9</f>
        <v>43609</v>
      </c>
      <c r="B9" s="30">
        <f>'Growth Analysis'!B9</f>
        <v>4</v>
      </c>
      <c r="C9" s="21">
        <f>'Raw Data'!E9/'Raw Data'!D9*100</f>
        <v>11.513303765055181</v>
      </c>
      <c r="D9" s="21">
        <f>'Raw Data'!F9/'Raw Data'!D9*100</f>
        <v>29.002966405131609</v>
      </c>
      <c r="E9" s="21">
        <f>'Raw Data'!J9/'Raw Data'!D9*100</f>
        <v>23.353342254738291</v>
      </c>
      <c r="F9" s="21">
        <f>'Raw Data'!M9/'Raw Data'!D9*100</f>
        <v>24.293821747253418</v>
      </c>
    </row>
    <row r="10" spans="1:6" ht="15" customHeight="1" x14ac:dyDescent="0.35">
      <c r="A10" s="18">
        <f>'Growth Analysis'!A10</f>
        <v>43637</v>
      </c>
      <c r="B10" s="30">
        <f>'Growth Analysis'!B10</f>
        <v>5</v>
      </c>
      <c r="C10" s="21">
        <f>'Raw Data'!E10/'Raw Data'!D10*100</f>
        <v>11.477743633460838</v>
      </c>
      <c r="D10" s="21">
        <f>'Raw Data'!F10/'Raw Data'!D10*100</f>
        <v>29.029214488131235</v>
      </c>
      <c r="E10" s="21">
        <f>'Raw Data'!J10/'Raw Data'!D10*100</f>
        <v>23.305786402581287</v>
      </c>
      <c r="F10" s="21">
        <f>'Raw Data'!M10/'Raw Data'!D10*100</f>
        <v>24.432017914694587</v>
      </c>
    </row>
    <row r="11" spans="1:6" ht="15" customHeight="1" x14ac:dyDescent="0.35">
      <c r="A11" s="18">
        <f>'Growth Analysis'!A11</f>
        <v>43665</v>
      </c>
      <c r="B11" s="30">
        <f>'Growth Analysis'!B11</f>
        <v>6</v>
      </c>
      <c r="C11" s="21">
        <f>'Raw Data'!E11/'Raw Data'!D11*100</f>
        <v>11.543503948143</v>
      </c>
      <c r="D11" s="21">
        <f>'Raw Data'!F11/'Raw Data'!D11*100</f>
        <v>28.788852478354805</v>
      </c>
      <c r="E11" s="21">
        <f>'Raw Data'!J11/'Raw Data'!D11*100</f>
        <v>23.466906676492854</v>
      </c>
      <c r="F11" s="21">
        <f>'Raw Data'!M11/'Raw Data'!D11*100</f>
        <v>24.680352835581697</v>
      </c>
    </row>
    <row r="12" spans="1:6" ht="15" customHeight="1" x14ac:dyDescent="0.35">
      <c r="A12" s="18">
        <f>'Growth Analysis'!A12</f>
        <v>43707</v>
      </c>
      <c r="B12" s="30">
        <f>'Growth Analysis'!B12</f>
        <v>7</v>
      </c>
      <c r="C12" s="21">
        <f>'Raw Data'!E12/'Raw Data'!D12*100</f>
        <v>11.528381646080438</v>
      </c>
      <c r="D12" s="21">
        <f>'Raw Data'!F12/'Raw Data'!D12*100</f>
        <v>28.458554363547112</v>
      </c>
      <c r="E12" s="21">
        <f>'Raw Data'!J12/'Raw Data'!D12*100</f>
        <v>23.592001540831419</v>
      </c>
      <c r="F12" s="21">
        <f>'Raw Data'!M12/'Raw Data'!D12*100</f>
        <v>24.827555114050696</v>
      </c>
    </row>
    <row r="13" spans="1:6" ht="15" customHeight="1" x14ac:dyDescent="0.35">
      <c r="A13" s="18">
        <f>'Growth Analysis'!A13</f>
        <v>43735</v>
      </c>
      <c r="B13" s="30">
        <f>'Growth Analysis'!B13</f>
        <v>8</v>
      </c>
      <c r="C13" s="21">
        <f>'Raw Data'!E13/'Raw Data'!D13*100</f>
        <v>11.569973538442715</v>
      </c>
      <c r="D13" s="21">
        <f>'Raw Data'!F13/'Raw Data'!D13*100</f>
        <v>28.134420837193154</v>
      </c>
      <c r="E13" s="21">
        <f>'Raw Data'!J13/'Raw Data'!D13*100</f>
        <v>23.913961289595342</v>
      </c>
      <c r="F13" s="21">
        <f>'Raw Data'!M13/'Raw Data'!D13*100</f>
        <v>24.983621773810437</v>
      </c>
    </row>
    <row r="14" spans="1:6" ht="15" customHeight="1" x14ac:dyDescent="0.35">
      <c r="A14" s="18">
        <f>'Growth Analysis'!A14</f>
        <v>43763</v>
      </c>
      <c r="B14" s="30">
        <f>'Growth Analysis'!B14</f>
        <v>9</v>
      </c>
      <c r="C14" s="21">
        <f>'Raw Data'!E14/'Raw Data'!D14*100</f>
        <v>12.021534665179448</v>
      </c>
      <c r="D14" s="21">
        <f>'Raw Data'!F14/'Raw Data'!D14*100</f>
        <v>29.602732674398457</v>
      </c>
      <c r="E14" s="21">
        <f>'Raw Data'!J14/'Raw Data'!D14*100</f>
        <v>25.234787963490714</v>
      </c>
      <c r="F14" s="21">
        <f>'Raw Data'!M14/'Raw Data'!D14*100</f>
        <v>26.215928196527479</v>
      </c>
    </row>
    <row r="15" spans="1:6" ht="15" customHeight="1" x14ac:dyDescent="0.35">
      <c r="A15" s="18">
        <f>'Growth Analysis'!A15</f>
        <v>43791</v>
      </c>
      <c r="B15" s="30">
        <f>'Growth Analysis'!B15</f>
        <v>10</v>
      </c>
      <c r="C15" s="21">
        <f>'Raw Data'!E15/'Raw Data'!D15*100</f>
        <v>12.039150203383954</v>
      </c>
      <c r="D15" s="21">
        <f>'Raw Data'!F15/'Raw Data'!D15*100</f>
        <v>29.343375090145752</v>
      </c>
      <c r="E15" s="21">
        <f>'Raw Data'!J15/'Raw Data'!D15*100</f>
        <v>25.236757430846573</v>
      </c>
      <c r="F15" s="21">
        <f>'Raw Data'!M15/'Raw Data'!D15*100</f>
        <v>26.398425940709313</v>
      </c>
    </row>
    <row r="16" spans="1:6" ht="15" customHeight="1" x14ac:dyDescent="0.35">
      <c r="A16" s="18">
        <f>'Growth Analysis'!A16</f>
        <v>43819</v>
      </c>
      <c r="B16" s="30">
        <f>'Growth Analysis'!B16</f>
        <v>11</v>
      </c>
      <c r="C16" s="21">
        <f>'Raw Data'!E16/'Raw Data'!D16*100</f>
        <v>11.833987793155961</v>
      </c>
      <c r="D16" s="21">
        <f>'Raw Data'!F16/'Raw Data'!D16*100</f>
        <v>28.619848908976021</v>
      </c>
      <c r="E16" s="21">
        <f>'Raw Data'!J16/'Raw Data'!D16*100</f>
        <v>24.943879496023271</v>
      </c>
      <c r="F16" s="21">
        <f>'Raw Data'!M16/'Raw Data'!D16*100</f>
        <v>26.170913511679551</v>
      </c>
    </row>
    <row r="17" spans="1:6" ht="15" customHeight="1" x14ac:dyDescent="0.35">
      <c r="A17" s="18">
        <f>'Growth Analysis'!A17</f>
        <v>43861</v>
      </c>
      <c r="B17" s="30">
        <f>'Growth Analysis'!B17</f>
        <v>12</v>
      </c>
      <c r="C17" s="21">
        <f>'Raw Data'!E17/'Raw Data'!D17*100</f>
        <v>11.938448073602691</v>
      </c>
      <c r="D17" s="21">
        <f>'Raw Data'!F17/'Raw Data'!D17*100</f>
        <v>28.617262378151086</v>
      </c>
      <c r="E17" s="21">
        <f>'Raw Data'!J17/'Raw Data'!D17*100</f>
        <v>25.249323105222064</v>
      </c>
      <c r="F17" s="21">
        <f>'Raw Data'!M17/'Raw Data'!D17*100</f>
        <v>26.784299940913709</v>
      </c>
    </row>
    <row r="18" spans="1:6" ht="15" customHeight="1" x14ac:dyDescent="0.35">
      <c r="A18" s="18">
        <f>'Growth Analysis'!A18</f>
        <v>43889</v>
      </c>
      <c r="B18" s="30">
        <f>'Growth Analysis'!B18</f>
        <v>13</v>
      </c>
      <c r="C18" s="21">
        <f>'Raw Data'!E18/'Raw Data'!D18*100</f>
        <v>11.961400340835999</v>
      </c>
      <c r="D18" s="21">
        <f>'Raw Data'!F18/'Raw Data'!D18*100</f>
        <v>28.600815241949352</v>
      </c>
      <c r="E18" s="21">
        <f>'Raw Data'!J18/'Raw Data'!D18*100</f>
        <v>25.25948423207171</v>
      </c>
      <c r="F18" s="21">
        <f>'Raw Data'!M18/'Raw Data'!D18*100</f>
        <v>26.95599982384913</v>
      </c>
    </row>
    <row r="19" spans="1:6" ht="15" customHeight="1" x14ac:dyDescent="0.35">
      <c r="A19" s="18">
        <f>'Growth Analysis'!A19</f>
        <v>43917</v>
      </c>
      <c r="B19" s="30">
        <f>'Growth Analysis'!B19</f>
        <v>14</v>
      </c>
      <c r="C19" s="21">
        <f>'Raw Data'!E19/'Raw Data'!D19*100</f>
        <v>11.659700586682623</v>
      </c>
      <c r="D19" s="21">
        <f>'Raw Data'!F19/'Raw Data'!D19*100</f>
        <v>28.55725972849239</v>
      </c>
      <c r="E19" s="21">
        <f>'Raw Data'!J19/'Raw Data'!D19*100</f>
        <v>25.894197372941385</v>
      </c>
      <c r="F19" s="21">
        <f>'Raw Data'!M19/'Raw Data'!D19*100</f>
        <v>26.425412570588524</v>
      </c>
    </row>
    <row r="20" spans="1:6" ht="15" customHeight="1" x14ac:dyDescent="0.35">
      <c r="A20" s="18">
        <f>'Growth Analysis'!A20</f>
        <v>43945</v>
      </c>
      <c r="B20" s="30">
        <f>'Growth Analysis'!B20</f>
        <v>15</v>
      </c>
      <c r="C20" s="21">
        <f>'Raw Data'!E20/'Raw Data'!D20*100</f>
        <v>11.815832959373616</v>
      </c>
      <c r="D20" s="21">
        <f>'Raw Data'!F20/'Raw Data'!D20*100</f>
        <v>28.650997840025994</v>
      </c>
      <c r="E20" s="21">
        <f>'Raw Data'!J20/'Raw Data'!D20*100</f>
        <v>25.96935989557285</v>
      </c>
      <c r="F20" s="21">
        <f>'Raw Data'!M20/'Raw Data'!D20*100</f>
        <v>26.203323427311904</v>
      </c>
    </row>
    <row r="21" spans="1:6" ht="15" customHeight="1" x14ac:dyDescent="0.35">
      <c r="A21" s="18">
        <f>'Growth Analysis'!A21</f>
        <v>43973</v>
      </c>
      <c r="B21" s="30">
        <f>'Growth Analysis'!B21</f>
        <v>16</v>
      </c>
      <c r="C21" s="21">
        <f>'Raw Data'!E21/'Raw Data'!D21*100</f>
        <v>11.957729461496385</v>
      </c>
      <c r="D21" s="21">
        <f>'Raw Data'!F21/'Raw Data'!D21*100</f>
        <v>28.63638550460638</v>
      </c>
      <c r="E21" s="21">
        <f>'Raw Data'!J21/'Raw Data'!D21*100</f>
        <v>25.707617075909532</v>
      </c>
      <c r="F21" s="21">
        <f>'Raw Data'!M21/'Raw Data'!D21*100</f>
        <v>26.049220141991782</v>
      </c>
    </row>
    <row r="22" spans="1:6" ht="15" customHeight="1" x14ac:dyDescent="0.35">
      <c r="A22" s="18">
        <f>'Growth Analysis'!A22</f>
        <v>44001</v>
      </c>
      <c r="B22" s="30">
        <f>'Growth Analysis'!B22</f>
        <v>17</v>
      </c>
      <c r="C22" s="21">
        <f>'Raw Data'!E22/'Raw Data'!D22*100</f>
        <v>11.829205946094552</v>
      </c>
      <c r="D22" s="21">
        <f>'Raw Data'!F22/'Raw Data'!D22*100</f>
        <v>28.665334096817997</v>
      </c>
      <c r="E22" s="21">
        <f>'Raw Data'!J22/'Raw Data'!D22*100</f>
        <v>25.775947671967064</v>
      </c>
      <c r="F22" s="21">
        <f>'Raw Data'!M22/'Raw Data'!D22*100</f>
        <v>26.147890415924774</v>
      </c>
    </row>
    <row r="23" spans="1:6" ht="15" customHeight="1" x14ac:dyDescent="0.35">
      <c r="A23" s="18">
        <f>'Growth Analysis'!A23</f>
        <v>44043</v>
      </c>
      <c r="B23" s="30">
        <f>'Growth Analysis'!B23</f>
        <v>18</v>
      </c>
      <c r="C23" s="21">
        <f>'Raw Data'!E23/'Raw Data'!D23*100</f>
        <v>11.915042414191859</v>
      </c>
      <c r="D23" s="21">
        <f>'Raw Data'!F23/'Raw Data'!D23*100</f>
        <v>28.119526776523713</v>
      </c>
      <c r="E23" s="21">
        <f>'Raw Data'!J23/'Raw Data'!D23*100</f>
        <v>25.721470222503719</v>
      </c>
      <c r="F23" s="21">
        <f>'Raw Data'!M23/'Raw Data'!D23*100</f>
        <v>26.476997639312859</v>
      </c>
    </row>
    <row r="24" spans="1:6" ht="15" customHeight="1" x14ac:dyDescent="0.35">
      <c r="A24" s="18">
        <f>'Growth Analysis'!A24</f>
        <v>44071</v>
      </c>
      <c r="B24" s="30">
        <f>'Growth Analysis'!B24</f>
        <v>19</v>
      </c>
      <c r="C24" s="21">
        <f>'Raw Data'!E24/'Raw Data'!D24*100</f>
        <v>11.844215952388829</v>
      </c>
      <c r="D24" s="21">
        <f>'Raw Data'!F24/'Raw Data'!D24*100</f>
        <v>27.832062704815403</v>
      </c>
      <c r="E24" s="21">
        <f>'Raw Data'!J24/'Raw Data'!D24*100</f>
        <v>26.034595835315688</v>
      </c>
      <c r="F24" s="21">
        <f>'Raw Data'!M24/'Raw Data'!D24*100</f>
        <v>26.663863591027027</v>
      </c>
    </row>
    <row r="25" spans="1:6" ht="15" customHeight="1" x14ac:dyDescent="0.35">
      <c r="A25" s="18">
        <f>'Growth Analysis'!A25</f>
        <v>44099</v>
      </c>
      <c r="B25" s="30">
        <f>'Growth Analysis'!B25</f>
        <v>20</v>
      </c>
      <c r="C25" s="21">
        <f>'Raw Data'!E25/'Raw Data'!D25*100</f>
        <v>12.203616042705768</v>
      </c>
      <c r="D25" s="21">
        <f>'Raw Data'!F25/'Raw Data'!D25*100</f>
        <v>27.747546447396093</v>
      </c>
      <c r="E25" s="21">
        <f>'Raw Data'!J25/'Raw Data'!D25*100</f>
        <v>26.004437257205453</v>
      </c>
      <c r="F25" s="21">
        <f>'Raw Data'!M25/'Raw Data'!D25*100</f>
        <v>26.802862138780458</v>
      </c>
    </row>
    <row r="26" spans="1:6" ht="15" customHeight="1" x14ac:dyDescent="0.35">
      <c r="A26" s="18">
        <f>'Growth Analysis'!A26</f>
        <v>44127</v>
      </c>
      <c r="B26" s="30">
        <f>'Growth Analysis'!B26</f>
        <v>21</v>
      </c>
      <c r="C26" s="21">
        <f>'Raw Data'!E26/'Raw Data'!D26*100</f>
        <v>12.303148974709652</v>
      </c>
      <c r="D26" s="21">
        <f>'Raw Data'!F26/'Raw Data'!D26*100</f>
        <v>27.29495540911601</v>
      </c>
      <c r="E26" s="21">
        <f>'Raw Data'!J26/'Raw Data'!D26*100</f>
        <v>25.690780473417576</v>
      </c>
      <c r="F26" s="21">
        <f>'Raw Data'!M26/'Raw Data'!D26*100</f>
        <v>27.115850600824448</v>
      </c>
    </row>
    <row r="27" spans="1:6" ht="15" customHeight="1" x14ac:dyDescent="0.35">
      <c r="A27" s="18">
        <f>'Growth Analysis'!A27</f>
        <v>44155</v>
      </c>
      <c r="B27" s="30">
        <f>'Growth Analysis'!B27</f>
        <v>22</v>
      </c>
      <c r="C27" s="21">
        <f>'Raw Data'!E27/'Raw Data'!D27*100</f>
        <v>12.21730155305333</v>
      </c>
      <c r="D27" s="21">
        <f>'Raw Data'!F27/'Raw Data'!D27*100</f>
        <v>27.234150043793036</v>
      </c>
      <c r="E27" s="21">
        <f>'Raw Data'!J27/'Raw Data'!D27*100</f>
        <v>25.592743929358878</v>
      </c>
      <c r="F27" s="21">
        <f>'Raw Data'!M27/'Raw Data'!D27*100</f>
        <v>27.254153380270342</v>
      </c>
    </row>
    <row r="28" spans="1:6" ht="15" customHeight="1" x14ac:dyDescent="0.35">
      <c r="A28" s="18">
        <f>'Growth Analysis'!A28</f>
        <v>44183</v>
      </c>
      <c r="B28" s="30">
        <f>'Growth Analysis'!B28</f>
        <v>23</v>
      </c>
      <c r="C28" s="21">
        <f>'Raw Data'!E28/'Raw Data'!D28*100</f>
        <v>12.07016471914503</v>
      </c>
      <c r="D28" s="21">
        <f>'Raw Data'!F28/'Raw Data'!D28*100</f>
        <v>26.606130062016721</v>
      </c>
      <c r="E28" s="21">
        <f>'Raw Data'!J28/'Raw Data'!D28*100</f>
        <v>25.068867353367807</v>
      </c>
      <c r="F28" s="21">
        <f>'Raw Data'!M28/'Raw Data'!D28*100</f>
        <v>26.849556944884156</v>
      </c>
    </row>
    <row r="29" spans="1:6" ht="15" customHeight="1" x14ac:dyDescent="0.35">
      <c r="A29" s="18">
        <f>'Growth Analysis'!A29</f>
        <v>44225</v>
      </c>
      <c r="B29" s="30">
        <f>'Growth Analysis'!B29</f>
        <v>24</v>
      </c>
      <c r="C29" s="21">
        <f>'Raw Data'!E29/'Raw Data'!D29*100</f>
        <v>12.358419521141458</v>
      </c>
      <c r="D29" s="21">
        <f>'Raw Data'!F29/'Raw Data'!D29*100</f>
        <v>27.742327091014651</v>
      </c>
      <c r="E29" s="21">
        <f>'Raw Data'!J29/'Raw Data'!D29*100</f>
        <v>26.181721138152774</v>
      </c>
      <c r="F29" s="21">
        <f>'Raw Data'!M29/'Raw Data'!D29*100</f>
        <v>27.773940474395104</v>
      </c>
    </row>
    <row r="30" spans="1:6" ht="15" customHeight="1" x14ac:dyDescent="0.35">
      <c r="A30" s="18">
        <f>'Growth Analysis'!A30</f>
        <v>44253</v>
      </c>
      <c r="B30" s="30">
        <f>'Growth Analysis'!B30</f>
        <v>25</v>
      </c>
      <c r="C30" s="21">
        <f>'Raw Data'!E30/'Raw Data'!D30*100</f>
        <v>12.351510106000225</v>
      </c>
      <c r="D30" s="21">
        <f>'Raw Data'!F30/'Raw Data'!D30*100</f>
        <v>27.805977424141314</v>
      </c>
      <c r="E30" s="21">
        <f>'Raw Data'!J30/'Raw Data'!D30*100</f>
        <v>26.349026797615338</v>
      </c>
      <c r="F30" s="21">
        <f>'Raw Data'!M30/'Raw Data'!D30*100</f>
        <v>28.033508285997733</v>
      </c>
    </row>
    <row r="31" spans="1:6" ht="15" customHeight="1" x14ac:dyDescent="0.35">
      <c r="A31" s="18">
        <f>'Growth Analysis'!A31</f>
        <v>44281</v>
      </c>
      <c r="B31" s="30">
        <f>'Growth Analysis'!B31</f>
        <v>26</v>
      </c>
      <c r="C31" s="21">
        <f>'Raw Data'!E31/'Raw Data'!D31*100</f>
        <v>12.211493241145384</v>
      </c>
      <c r="D31" s="21">
        <f>'Raw Data'!F31/'Raw Data'!D31*100</f>
        <v>27.006814173858839</v>
      </c>
      <c r="E31" s="21">
        <f>'Raw Data'!J31/'Raw Data'!D31*100</f>
        <v>25.39278231904537</v>
      </c>
      <c r="F31" s="21">
        <f>'Raw Data'!M31/'Raw Data'!D31*100</f>
        <v>27.635403221310785</v>
      </c>
    </row>
    <row r="32" spans="1:6" ht="15" customHeight="1" x14ac:dyDescent="0.35">
      <c r="A32" s="18">
        <f>'Growth Analysis'!A32</f>
        <v>44309</v>
      </c>
      <c r="B32" s="30">
        <f>'Growth Analysis'!B32</f>
        <v>27</v>
      </c>
      <c r="C32" s="21">
        <f>'Raw Data'!E32/'Raw Data'!D32*100</f>
        <v>12.634063102845039</v>
      </c>
      <c r="D32" s="21">
        <f>'Raw Data'!F32/'Raw Data'!D32*100</f>
        <v>27.428728131406732</v>
      </c>
      <c r="E32" s="21">
        <f>'Raw Data'!J32/'Raw Data'!D32*100</f>
        <v>25.620425123287298</v>
      </c>
      <c r="F32" s="21">
        <f>'Raw Data'!M32/'Raw Data'!D32*100</f>
        <v>28.479448045606361</v>
      </c>
    </row>
    <row r="33" spans="1:6" ht="15" customHeight="1" x14ac:dyDescent="0.35">
      <c r="A33" s="18">
        <f>'Growth Analysis'!A33</f>
        <v>44337</v>
      </c>
      <c r="B33" s="30">
        <f>'Growth Analysis'!B33</f>
        <v>28</v>
      </c>
      <c r="C33" s="21">
        <f>'Raw Data'!E33/'Raw Data'!D33*100</f>
        <v>12.614251318826772</v>
      </c>
      <c r="D33" s="21">
        <f>'Raw Data'!F33/'Raw Data'!D33*100</f>
        <v>27.536156718981264</v>
      </c>
      <c r="E33" s="21">
        <f>'Raw Data'!J33/'Raw Data'!D33*100</f>
        <v>25.594315904842681</v>
      </c>
      <c r="F33" s="21">
        <f>'Raw Data'!M33/'Raw Data'!D33*100</f>
        <v>28.373056649668872</v>
      </c>
    </row>
    <row r="34" spans="1:6" ht="15" customHeight="1" x14ac:dyDescent="0.35">
      <c r="A34" s="18">
        <f>'Growth Analysis'!A34</f>
        <v>44365</v>
      </c>
      <c r="B34" s="30">
        <f>'Growth Analysis'!B34</f>
        <v>29</v>
      </c>
      <c r="C34" s="21">
        <f>'Raw Data'!E34/'Raw Data'!D34*100</f>
        <v>12.523096775520113</v>
      </c>
      <c r="D34" s="21">
        <f>'Raw Data'!F34/'Raw Data'!D34*100</f>
        <v>27.125843273322818</v>
      </c>
      <c r="E34" s="21">
        <f>'Raw Data'!J34/'Raw Data'!D34*100</f>
        <v>25.570498705623599</v>
      </c>
      <c r="F34" s="21">
        <f>'Raw Data'!M34/'Raw Data'!D34*100</f>
        <v>28.107746662241436</v>
      </c>
    </row>
    <row r="35" spans="1:6" ht="15" customHeight="1" x14ac:dyDescent="0.35">
      <c r="A35" s="18">
        <f>'Growth Analysis'!A35</f>
        <v>44407</v>
      </c>
      <c r="B35" s="30">
        <f>'Growth Analysis'!B35</f>
        <v>30</v>
      </c>
      <c r="C35" s="21">
        <f>'Raw Data'!E35/'Raw Data'!D35*100</f>
        <v>12.730651057318953</v>
      </c>
      <c r="D35" s="21">
        <f>'Raw Data'!F35/'Raw Data'!D35*100</f>
        <v>27.085351935266804</v>
      </c>
      <c r="E35" s="21">
        <f>'Raw Data'!J35/'Raw Data'!D35*100</f>
        <v>25.572800585789459</v>
      </c>
      <c r="F35" s="21">
        <f>'Raw Data'!M35/'Raw Data'!D35*100</f>
        <v>28.572020292769718</v>
      </c>
    </row>
    <row r="36" spans="1:6" ht="15" customHeight="1" x14ac:dyDescent="0.35">
      <c r="A36" s="18">
        <f>'Growth Analysis'!A36</f>
        <v>44435</v>
      </c>
      <c r="B36" s="30">
        <f>'Growth Analysis'!B36</f>
        <v>31</v>
      </c>
      <c r="C36" s="21">
        <f>'Raw Data'!E36/'Raw Data'!D36*100</f>
        <v>12.802622786774002</v>
      </c>
      <c r="D36" s="21">
        <f>'Raw Data'!F36/'Raw Data'!D36*100</f>
        <v>26.985563240048428</v>
      </c>
      <c r="E36" s="21">
        <f>'Raw Data'!J36/'Raw Data'!D36*100</f>
        <v>25.365694033709246</v>
      </c>
      <c r="F36" s="21">
        <f>'Raw Data'!M36/'Raw Data'!D36*100</f>
        <v>28.852166647929696</v>
      </c>
    </row>
    <row r="37" spans="1:6" ht="15" customHeight="1" x14ac:dyDescent="0.35">
      <c r="A37" s="18">
        <f>'Growth Analysis'!A37</f>
        <v>44463</v>
      </c>
      <c r="B37" s="30">
        <f>'Growth Analysis'!B37</f>
        <v>32</v>
      </c>
      <c r="C37" s="21">
        <f>'Raw Data'!E37/'Raw Data'!D37*100</f>
        <v>12.927002430464601</v>
      </c>
      <c r="D37" s="21">
        <f>'Raw Data'!F37/'Raw Data'!D37*100</f>
        <v>26.977883744750329</v>
      </c>
      <c r="E37" s="21">
        <f>'Raw Data'!J37/'Raw Data'!D37*100</f>
        <v>25.104506880417677</v>
      </c>
      <c r="F37" s="21">
        <f>'Raw Data'!M37/'Raw Data'!D37*100</f>
        <v>29.077870111629743</v>
      </c>
    </row>
    <row r="38" spans="1:6" ht="15" customHeight="1" x14ac:dyDescent="0.35">
      <c r="A38" s="18">
        <f>'Growth Analysis'!A38</f>
        <v>44491</v>
      </c>
      <c r="B38" s="30">
        <f>'Growth Analysis'!B38</f>
        <v>33</v>
      </c>
      <c r="C38" s="21">
        <f>'Raw Data'!E38/'Raw Data'!D38*100</f>
        <v>13.022327378788429</v>
      </c>
      <c r="D38" s="21">
        <f>'Raw Data'!F38/'Raw Data'!D38*100</f>
        <v>26.90398843142086</v>
      </c>
      <c r="E38" s="21">
        <f>'Raw Data'!J38/'Raw Data'!D38*100</f>
        <v>25.190306840296138</v>
      </c>
      <c r="F38" s="21">
        <f>'Raw Data'!M38/'Raw Data'!D38*100</f>
        <v>29.234755557088132</v>
      </c>
    </row>
    <row r="39" spans="1:6" ht="15" customHeight="1" x14ac:dyDescent="0.35">
      <c r="A39" s="18">
        <f>'Growth Analysis'!A39</f>
        <v>44519</v>
      </c>
      <c r="B39" s="30">
        <f>'Growth Analysis'!B39</f>
        <v>34</v>
      </c>
      <c r="C39" s="21">
        <f>'Raw Data'!E39/'Raw Data'!D39*100</f>
        <v>12.933877597549792</v>
      </c>
      <c r="D39" s="21">
        <f>'Raw Data'!F39/'Raw Data'!D39*100</f>
        <v>26.87752249179627</v>
      </c>
      <c r="E39" s="21">
        <f>'Raw Data'!J39/'Raw Data'!D39*100</f>
        <v>25.13467939587607</v>
      </c>
      <c r="F39" s="21">
        <f>'Raw Data'!M39/'Raw Data'!D39*100</f>
        <v>29.339933078764354</v>
      </c>
    </row>
    <row r="40" spans="1:6" ht="15" customHeight="1" x14ac:dyDescent="0.35">
      <c r="A40" s="18">
        <f>'Growth Analysis'!A40</f>
        <v>44561</v>
      </c>
      <c r="B40" s="30">
        <f>'Growth Analysis'!B40</f>
        <v>35</v>
      </c>
      <c r="C40" s="21">
        <f>'Raw Data'!E40/'Raw Data'!D40*100</f>
        <v>13.013146845007087</v>
      </c>
      <c r="D40" s="21">
        <f>'Raw Data'!F40/'Raw Data'!D40*100</f>
        <v>26.861483455189312</v>
      </c>
      <c r="E40" s="21">
        <f>'Raw Data'!J40/'Raw Data'!D40*100</f>
        <v>26.026957785690463</v>
      </c>
      <c r="F40" s="21">
        <f>'Raw Data'!M40/'Raw Data'!D40*100</f>
        <v>29.171466062495515</v>
      </c>
    </row>
    <row r="41" spans="1:6" ht="15" customHeight="1" x14ac:dyDescent="0.35">
      <c r="A41" s="18">
        <f>'Growth Analysis'!A41</f>
        <v>44589</v>
      </c>
      <c r="B41" s="30">
        <f>'Growth Analysis'!B41</f>
        <v>36</v>
      </c>
      <c r="C41" s="21">
        <f>'Raw Data'!E41/'Raw Data'!D41*100</f>
        <v>12.860741733598449</v>
      </c>
      <c r="D41" s="21">
        <f>'Raw Data'!F41/'Raw Data'!D41*100</f>
        <v>26.781035644350283</v>
      </c>
      <c r="E41" s="21">
        <f>'Raw Data'!J41/'Raw Data'!D41*100</f>
        <v>26.014586597212912</v>
      </c>
      <c r="F41" s="21">
        <f>'Raw Data'!M41/'Raw Data'!D41*100</f>
        <v>29.555706298684427</v>
      </c>
    </row>
    <row r="42" spans="1:6" ht="15" customHeight="1" x14ac:dyDescent="0.35">
      <c r="A42" s="18">
        <f>'Growth Analysis'!A42</f>
        <v>44617</v>
      </c>
      <c r="B42" s="30">
        <f>'Growth Analysis'!B42</f>
        <v>37</v>
      </c>
      <c r="C42" s="21">
        <f>'Raw Data'!E42/'Raw Data'!D42*100</f>
        <v>12.731123001823283</v>
      </c>
      <c r="D42" s="21">
        <f>'Raw Data'!F42/'Raw Data'!D42*100</f>
        <v>26.803439266261268</v>
      </c>
      <c r="E42" s="21">
        <f>'Raw Data'!J42/'Raw Data'!D42*100</f>
        <v>26.101012936692815</v>
      </c>
      <c r="F42" s="21">
        <f>'Raw Data'!M42/'Raw Data'!D42*100</f>
        <v>29.493522316106478</v>
      </c>
    </row>
    <row r="43" spans="1:6" ht="15" customHeight="1" x14ac:dyDescent="0.35">
      <c r="A43" s="18">
        <f>'Growth Analysis'!A43</f>
        <v>44645</v>
      </c>
      <c r="B43" s="30">
        <f>'Growth Analysis'!B43</f>
        <v>38</v>
      </c>
      <c r="C43" s="21">
        <f>'Raw Data'!E43/'Raw Data'!D43*100</f>
        <v>12.643169810908466</v>
      </c>
      <c r="D43" s="21">
        <f>'Raw Data'!F43/'Raw Data'!D43*100</f>
        <v>26.875789941578855</v>
      </c>
      <c r="E43" s="21">
        <f>'Raw Data'!J43/'Raw Data'!D43*100</f>
        <v>26.296561874666331</v>
      </c>
      <c r="F43" s="21">
        <f>'Raw Data'!M43/'Raw Data'!D43*100</f>
        <v>29.283420542950068</v>
      </c>
    </row>
    <row r="44" spans="1:6" ht="15" customHeight="1" x14ac:dyDescent="0.35">
      <c r="A44" s="18">
        <f>'Growth Analysis'!A44</f>
        <v>44673</v>
      </c>
      <c r="B44" s="30">
        <f>'Growth Analysis'!B44</f>
        <v>39</v>
      </c>
      <c r="C44" s="21">
        <f>'Raw Data'!E44/'Raw Data'!D44*100</f>
        <v>12.692131674064836</v>
      </c>
      <c r="D44" s="21">
        <f>'Raw Data'!F44/'Raw Data'!D44*100</f>
        <v>26.648301851739326</v>
      </c>
      <c r="E44" s="21">
        <f>'Raw Data'!J44/'Raw Data'!D44*100</f>
        <v>26.12221625769428</v>
      </c>
      <c r="F44" s="21">
        <f>'Raw Data'!M44/'Raw Data'!D44*100</f>
        <v>29.660859829625526</v>
      </c>
    </row>
    <row r="45" spans="1:6" ht="15" customHeight="1" x14ac:dyDescent="0.35">
      <c r="A45" s="18">
        <f>'Growth Analysis'!A45</f>
        <v>44701</v>
      </c>
      <c r="B45" s="30">
        <f>'Growth Analysis'!B45</f>
        <v>40</v>
      </c>
      <c r="C45" s="21">
        <f>'Raw Data'!E45/'Raw Data'!D45*100</f>
        <v>12.538642456614543</v>
      </c>
      <c r="D45" s="21">
        <f>'Raw Data'!F45/'Raw Data'!D45*100</f>
        <v>26.4000970895869</v>
      </c>
      <c r="E45" s="21">
        <f>'Raw Data'!J45/'Raw Data'!D45*100</f>
        <v>25.905568803036804</v>
      </c>
      <c r="F45" s="21">
        <f>'Raw Data'!M45/'Raw Data'!D45*100</f>
        <v>29.420988405065984</v>
      </c>
    </row>
    <row r="46" spans="1:6" ht="15" customHeight="1" x14ac:dyDescent="0.35">
      <c r="A46" s="18">
        <f>'Growth Analysis'!A46</f>
        <v>44729</v>
      </c>
      <c r="B46" s="30">
        <f>'Growth Analysis'!B46</f>
        <v>41</v>
      </c>
      <c r="C46" s="21">
        <f>'Raw Data'!E46/'Raw Data'!D46*100</f>
        <v>12.445196841184613</v>
      </c>
      <c r="D46" s="21">
        <f>'Raw Data'!F46/'Raw Data'!D46*100</f>
        <v>25.994346403198591</v>
      </c>
      <c r="E46" s="21">
        <f>'Raw Data'!J46/'Raw Data'!D46*100</f>
        <v>25.627492104303084</v>
      </c>
      <c r="F46" s="21">
        <f>'Raw Data'!M46/'Raw Data'!D46*100</f>
        <v>29.163586325864827</v>
      </c>
    </row>
    <row r="47" spans="1:6" ht="15" customHeight="1" x14ac:dyDescent="0.35">
      <c r="A47" s="18">
        <f>'Growth Analysis'!A47</f>
        <v>44771</v>
      </c>
      <c r="B47" s="30">
        <f>'Growth Analysis'!B47</f>
        <v>42</v>
      </c>
      <c r="C47" s="21">
        <f>'Raw Data'!E47/'Raw Data'!D47*100</f>
        <v>12.682287868922737</v>
      </c>
      <c r="D47" s="21">
        <f>'Raw Data'!F47/'Raw Data'!D47*100</f>
        <v>26.056483961278133</v>
      </c>
      <c r="E47" s="21">
        <f>'Raw Data'!J47/'Raw Data'!D47*100</f>
        <v>26.529147364587491</v>
      </c>
      <c r="F47" s="21">
        <f>'Raw Data'!M47/'Raw Data'!D47*100</f>
        <v>29.873730057315278</v>
      </c>
    </row>
    <row r="48" spans="1:6" ht="15" customHeight="1" x14ac:dyDescent="0.35">
      <c r="A48" s="18">
        <f>'Growth Analysis'!A48</f>
        <v>44799</v>
      </c>
      <c r="B48" s="30">
        <f>'Growth Analysis'!B48</f>
        <v>43</v>
      </c>
      <c r="C48" s="21">
        <f>'Raw Data'!E48/'Raw Data'!D48*100</f>
        <v>12.674912028384098</v>
      </c>
      <c r="D48" s="21">
        <f>'Raw Data'!F48/'Raw Data'!D48*100</f>
        <v>26.004670303123739</v>
      </c>
      <c r="E48" s="21">
        <f>'Raw Data'!J48/'Raw Data'!D48*100</f>
        <v>26.237564049137678</v>
      </c>
      <c r="F48" s="21">
        <f>'Raw Data'!M48/'Raw Data'!D48*100</f>
        <v>30.090335350411934</v>
      </c>
    </row>
    <row r="49" spans="1:6" ht="15" customHeight="1" x14ac:dyDescent="0.35">
      <c r="A49" s="18">
        <f>'Growth Analysis'!A49</f>
        <v>44827</v>
      </c>
      <c r="B49" s="30">
        <f>'Growth Analysis'!B49</f>
        <v>44</v>
      </c>
      <c r="C49" s="21">
        <f>'Raw Data'!E49/'Raw Data'!D49*100</f>
        <v>12.66345466532279</v>
      </c>
      <c r="D49" s="21">
        <f>'Raw Data'!F49/'Raw Data'!D49*100</f>
        <v>25.987125496012485</v>
      </c>
      <c r="E49" s="21">
        <f>'Raw Data'!J49/'Raw Data'!D49*100</f>
        <v>26.351366654079051</v>
      </c>
      <c r="F49" s="21">
        <f>'Raw Data'!M49/'Raw Data'!D49*100</f>
        <v>30.098072488982453</v>
      </c>
    </row>
    <row r="50" spans="1:6" ht="15" customHeight="1" x14ac:dyDescent="0.35">
      <c r="A50" s="18">
        <f>'Growth Analysis'!A50</f>
        <v>44855</v>
      </c>
      <c r="B50" s="30">
        <f>'Growth Analysis'!B50</f>
        <v>45</v>
      </c>
      <c r="C50" s="21">
        <f>'Raw Data'!E50/'Raw Data'!D50*100</f>
        <v>12.652532808803278</v>
      </c>
      <c r="D50" s="21">
        <f>'Raw Data'!F50/'Raw Data'!D50*100</f>
        <v>25.825588400512306</v>
      </c>
      <c r="E50" s="21">
        <f>'Raw Data'!J50/'Raw Data'!D50*100</f>
        <v>26.625406055451794</v>
      </c>
      <c r="F50" s="21">
        <f>'Raw Data'!M50/'Raw Data'!D50*100</f>
        <v>30.030634085399548</v>
      </c>
    </row>
    <row r="51" spans="1:6" ht="15" customHeight="1" x14ac:dyDescent="0.35">
      <c r="A51" s="18">
        <f>'Growth Analysis'!A51</f>
        <v>44883</v>
      </c>
      <c r="B51" s="30">
        <f>'Growth Analysis'!B51</f>
        <v>46</v>
      </c>
      <c r="C51" s="21">
        <f>'Raw Data'!E51/'Raw Data'!D51*100</f>
        <v>12.65702037481663</v>
      </c>
      <c r="D51" s="21">
        <f>'Raw Data'!F51/'Raw Data'!D51*100</f>
        <v>25.80880183950724</v>
      </c>
      <c r="E51" s="21">
        <f>'Raw Data'!J51/'Raw Data'!D51*100</f>
        <v>26.500709872114776</v>
      </c>
      <c r="F51" s="21">
        <f>'Raw Data'!M51/'Raw Data'!D51*100</f>
        <v>30.175986409381068</v>
      </c>
    </row>
    <row r="52" spans="1:6" ht="15" customHeight="1" x14ac:dyDescent="0.35">
      <c r="A52" s="18">
        <f>'Growth Analysis'!A52</f>
        <v>44925</v>
      </c>
      <c r="B52" s="30">
        <f>'Growth Analysis'!B52</f>
        <v>47</v>
      </c>
      <c r="C52" s="21">
        <f>'Raw Data'!E52/'Raw Data'!D52*100</f>
        <v>12.583774879554305</v>
      </c>
      <c r="D52" s="21">
        <f>'Raw Data'!F52/'Raw Data'!D52*100</f>
        <v>25.102621264608118</v>
      </c>
      <c r="E52" s="21">
        <f>'Raw Data'!J52/'Raw Data'!D52*100</f>
        <v>27.185525990757515</v>
      </c>
      <c r="F52" s="21">
        <f>'Raw Data'!M52/'Raw Data'!D52*100</f>
        <v>30.398667752212599</v>
      </c>
    </row>
    <row r="53" spans="1:6" ht="15" customHeight="1" x14ac:dyDescent="0.35">
      <c r="A53" s="18">
        <f>'Growth Analysis'!A53</f>
        <v>44953</v>
      </c>
      <c r="B53" s="30">
        <f>'Growth Analysis'!B53</f>
        <v>48</v>
      </c>
      <c r="C53" s="21">
        <f>'Raw Data'!E53/'Raw Data'!D53*100</f>
        <v>12.601768905312213</v>
      </c>
      <c r="D53" s="21">
        <f>'Raw Data'!F53/'Raw Data'!D53*100</f>
        <v>24.998648501822572</v>
      </c>
      <c r="E53" s="21">
        <f>'Raw Data'!J53/'Raw Data'!D53*100</f>
        <v>27.008720713606504</v>
      </c>
      <c r="F53" s="21">
        <f>'Raw Data'!M53/'Raw Data'!D53*100</f>
        <v>30.512819450914346</v>
      </c>
    </row>
    <row r="54" spans="1:6" ht="15" customHeight="1" x14ac:dyDescent="0.35">
      <c r="A54" s="18">
        <f>'Growth Analysis'!A54</f>
        <v>44981</v>
      </c>
      <c r="B54" s="30">
        <f>'Growth Analysis'!B54</f>
        <v>49</v>
      </c>
      <c r="C54" s="21">
        <f>'Raw Data'!E54/'Raw Data'!D54*100</f>
        <v>12.623450147778531</v>
      </c>
      <c r="D54" s="21">
        <f>'Raw Data'!F54/'Raw Data'!D54*100</f>
        <v>24.760078845494917</v>
      </c>
      <c r="E54" s="21">
        <f>'Raw Data'!J54/'Raw Data'!D54*100</f>
        <v>27.089389556914185</v>
      </c>
      <c r="F54" s="21">
        <f>'Raw Data'!M54/'Raw Data'!D54*100</f>
        <v>30.631244296139919</v>
      </c>
    </row>
    <row r="55" spans="1:6" ht="15" customHeight="1" x14ac:dyDescent="0.35">
      <c r="A55" s="18">
        <f>'Growth Analysis'!A55</f>
        <v>45009</v>
      </c>
      <c r="B55" s="30">
        <f>'Growth Analysis'!B55</f>
        <v>50</v>
      </c>
      <c r="C55" s="21">
        <f>'Raw Data'!E55/'Raw Data'!D55*100</f>
        <v>12.642755866305974</v>
      </c>
      <c r="D55" s="21">
        <f>'Raw Data'!F55/'Raw Data'!D55*100</f>
        <v>24.652688330001588</v>
      </c>
      <c r="E55" s="21">
        <f>'Raw Data'!J55/'Raw Data'!D55*100</f>
        <v>27.233357749610082</v>
      </c>
      <c r="F55" s="21">
        <f>'Raw Data'!M55/'Raw Data'!D55*100</f>
        <v>30.631024721021237</v>
      </c>
    </row>
    <row r="56" spans="1:6" ht="15" customHeight="1" x14ac:dyDescent="0.35">
      <c r="A56" s="18">
        <f>'Growth Analysis'!A56</f>
        <v>45037</v>
      </c>
      <c r="B56" s="30">
        <f>'Growth Analysis'!B56</f>
        <v>51</v>
      </c>
      <c r="C56" s="21">
        <f>'Raw Data'!E56/'Raw Data'!D56*100</f>
        <v>12.759052335804528</v>
      </c>
      <c r="D56" s="21">
        <f>'Raw Data'!F56/'Raw Data'!D56*100</f>
        <v>24.602812975353373</v>
      </c>
      <c r="E56" s="21">
        <f>'Raw Data'!J56/'Raw Data'!D56*100</f>
        <v>27.27718712339647</v>
      </c>
      <c r="F56" s="21">
        <f>'Raw Data'!M56/'Raw Data'!D56*100</f>
        <v>30.49371860100128</v>
      </c>
    </row>
    <row r="57" spans="1:6" ht="15" customHeight="1" x14ac:dyDescent="0.35">
      <c r="A57" s="18">
        <f>'Growth Analysis'!A57</f>
        <v>45065</v>
      </c>
      <c r="B57" s="30">
        <f>'Growth Analysis'!B57</f>
        <v>52</v>
      </c>
      <c r="C57" s="21">
        <f>'Raw Data'!E57/'Raw Data'!D57*100</f>
        <v>12.589149634926622</v>
      </c>
      <c r="D57" s="21">
        <f>'Raw Data'!F57/'Raw Data'!D57*100</f>
        <v>24.233176809947178</v>
      </c>
      <c r="E57" s="21">
        <f>'Raw Data'!J57/'Raw Data'!D57*100</f>
        <v>27.198995462795999</v>
      </c>
      <c r="F57" s="21">
        <f>'Raw Data'!M57/'Raw Data'!D57*100</f>
        <v>30.336690311692223</v>
      </c>
    </row>
    <row r="58" spans="1:6" ht="15" customHeight="1" x14ac:dyDescent="0.35">
      <c r="A58" s="18">
        <f>'Growth Analysis'!A58</f>
        <v>45107</v>
      </c>
      <c r="B58" s="30">
        <f>'Growth Analysis'!B58</f>
        <v>53</v>
      </c>
      <c r="C58" s="21">
        <f>'Raw Data'!E58/'Raw Data'!D58*100</f>
        <v>12.812361968791397</v>
      </c>
      <c r="D58" s="21">
        <f>'Raw Data'!F58/'Raw Data'!D58*100</f>
        <v>24.016937731345102</v>
      </c>
      <c r="E58" s="21">
        <f>'Raw Data'!J58/'Raw Data'!D58*100</f>
        <v>27.938784924709893</v>
      </c>
      <c r="F58" s="21">
        <f>'Raw Data'!M58/'Raw Data'!D58*100</f>
        <v>30.426873031380268</v>
      </c>
    </row>
    <row r="59" spans="1:6" ht="15" customHeight="1" x14ac:dyDescent="0.35">
      <c r="A59" s="18">
        <f>'Growth Analysis'!A59</f>
        <v>45135</v>
      </c>
      <c r="B59" s="30">
        <f>'Growth Analysis'!B59</f>
        <v>54</v>
      </c>
      <c r="C59" s="21">
        <f>'Raw Data'!E59/'Raw Data'!D59*100</f>
        <v>12.366213431947667</v>
      </c>
      <c r="D59" s="21">
        <f>'Raw Data'!F59/'Raw Data'!D59*100</f>
        <v>22.896462671771374</v>
      </c>
      <c r="E59" s="21">
        <f>'Raw Data'!J59/'Raw Data'!D59*100</f>
        <v>27.356107187310407</v>
      </c>
      <c r="F59" s="21">
        <f>'Raw Data'!M59/'Raw Data'!D59*100</f>
        <v>32.733741826240831</v>
      </c>
    </row>
    <row r="60" spans="1:6" ht="15" customHeight="1" x14ac:dyDescent="0.35">
      <c r="A60" s="18">
        <f>'Growth Analysis'!A60</f>
        <v>45163</v>
      </c>
      <c r="B60" s="30">
        <f>'Growth Analysis'!B60</f>
        <v>55</v>
      </c>
      <c r="C60" s="21">
        <f>'Raw Data'!E60/'Raw Data'!D60*100</f>
        <v>12.318570068585176</v>
      </c>
      <c r="D60" s="21">
        <f>'Raw Data'!F60/'Raw Data'!D60*100</f>
        <v>22.981243659065999</v>
      </c>
      <c r="E60" s="21">
        <f>'Raw Data'!J60/'Raw Data'!D60*100</f>
        <v>27.361697954907992</v>
      </c>
      <c r="F60" s="21">
        <f>'Raw Data'!M60/'Raw Data'!D60*100</f>
        <v>32.730236738965992</v>
      </c>
    </row>
    <row r="61" spans="1:6" ht="15" customHeight="1" x14ac:dyDescent="0.35">
      <c r="A61" s="18">
        <f>'Growth Analysis'!A61</f>
        <v>45191</v>
      </c>
      <c r="B61" s="30">
        <f>'Growth Analysis'!B61</f>
        <v>56</v>
      </c>
      <c r="C61" s="21">
        <f>'Raw Data'!E61/'Raw Data'!D61*100</f>
        <v>12.308239165068986</v>
      </c>
      <c r="D61" s="21">
        <f>'Raw Data'!F61/'Raw Data'!D61*100</f>
        <v>23.061041418784338</v>
      </c>
      <c r="E61" s="21">
        <f>'Raw Data'!J61/'Raw Data'!D61*100</f>
        <v>27.530641289698988</v>
      </c>
      <c r="F61" s="21">
        <f>'Raw Data'!M61/'Raw Data'!D61*100</f>
        <v>32.608234013855771</v>
      </c>
    </row>
    <row r="62" spans="1:6" ht="15" customHeight="1" x14ac:dyDescent="0.35">
      <c r="A62" s="18">
        <f>'Growth Analysis'!A62</f>
        <v>45219</v>
      </c>
      <c r="B62" s="30">
        <f>'Growth Analysis'!B62</f>
        <v>57</v>
      </c>
      <c r="C62" s="21">
        <f>'Raw Data'!E62/'Raw Data'!D62*100</f>
        <v>12.271709371538559</v>
      </c>
      <c r="D62" s="21">
        <f>'Raw Data'!F62/'Raw Data'!D62*100</f>
        <v>22.654994630726002</v>
      </c>
      <c r="E62" s="21">
        <f>'Raw Data'!J62/'Raw Data'!D62*100</f>
        <v>27.013866427391349</v>
      </c>
      <c r="F62" s="21">
        <f>'Raw Data'!M62/'Raw Data'!D62*100</f>
        <v>32.241936554871515</v>
      </c>
    </row>
    <row r="63" spans="1:6" ht="15" customHeight="1" x14ac:dyDescent="0.35">
      <c r="A63" s="18">
        <f>'Growth Analysis'!A63</f>
        <v>45247</v>
      </c>
      <c r="B63" s="30">
        <f>'Growth Analysis'!B63</f>
        <v>58</v>
      </c>
      <c r="C63" s="21">
        <f>'Raw Data'!E63/'Raw Data'!D63*100</f>
        <v>12.213333489933083</v>
      </c>
      <c r="D63" s="21">
        <f>'Raw Data'!F63/'Raw Data'!D63*100</f>
        <v>22.538786246491725</v>
      </c>
      <c r="E63" s="21">
        <f>'Raw Data'!J63/'Raw Data'!D63*100</f>
        <v>26.956914989981541</v>
      </c>
      <c r="F63" s="21">
        <f>'Raw Data'!M63/'Raw Data'!D63*100</f>
        <v>32.151173338665686</v>
      </c>
    </row>
    <row r="64" spans="1:6" ht="15" customHeight="1" x14ac:dyDescent="0.35">
      <c r="A64" s="18">
        <f>'Growth Analysis'!A64</f>
        <v>45289</v>
      </c>
      <c r="B64" s="30">
        <f>'Growth Analysis'!B64</f>
        <v>59</v>
      </c>
      <c r="C64" s="21">
        <f>'Raw Data'!E64/'Raw Data'!D64*100</f>
        <v>12.507408746908633</v>
      </c>
      <c r="D64" s="21">
        <f>'Raw Data'!F64/'Raw Data'!D64*100</f>
        <v>22.756416741563829</v>
      </c>
      <c r="E64" s="21">
        <f>'Raw Data'!J64/'Raw Data'!D64*100</f>
        <v>27.644826093909852</v>
      </c>
      <c r="F64" s="21">
        <f>'Raw Data'!M64/'Raw Data'!D64*100</f>
        <v>32.590037924805685</v>
      </c>
    </row>
    <row r="65" spans="1:6" ht="15" customHeight="1" x14ac:dyDescent="0.35">
      <c r="A65" s="18">
        <f>'Growth Analysis'!A65</f>
        <v>45317</v>
      </c>
      <c r="B65" s="30">
        <f>'Growth Analysis'!B65</f>
        <v>60</v>
      </c>
      <c r="C65" s="21">
        <f>'Raw Data'!E65/'Raw Data'!D65*100</f>
        <v>12.558455544393537</v>
      </c>
      <c r="D65" s="21">
        <f>'Raw Data'!F65/'Raw Data'!D65*100</f>
        <v>22.59292061053582</v>
      </c>
      <c r="E65" s="21">
        <f>'Raw Data'!J65/'Raw Data'!D65*100</f>
        <v>27.590478435528453</v>
      </c>
      <c r="F65" s="21">
        <f>'Raw Data'!M65/'Raw Data'!D65*100</f>
        <v>32.688470421334451</v>
      </c>
    </row>
    <row r="66" spans="1:6" ht="15" customHeight="1" x14ac:dyDescent="0.35">
      <c r="A66" s="18">
        <f>'Growth Analysis'!A66</f>
        <v>45345</v>
      </c>
      <c r="B66" s="30">
        <f>'Growth Analysis'!B66</f>
        <v>61</v>
      </c>
      <c r="C66" s="21">
        <f>'Raw Data'!E66/'Raw Data'!D66*100</f>
        <v>12.564712952465825</v>
      </c>
      <c r="D66" s="21">
        <f>'Raw Data'!F66/'Raw Data'!D66*100</f>
        <v>22.537899842676659</v>
      </c>
      <c r="E66" s="21">
        <f>'Raw Data'!J66/'Raw Data'!D66*100</f>
        <v>27.649493557511207</v>
      </c>
      <c r="F66" s="21">
        <f>'Raw Data'!M66/'Raw Data'!D66*100</f>
        <v>32.640578182770817</v>
      </c>
    </row>
    <row r="67" spans="1:6" ht="15" customHeight="1" x14ac:dyDescent="0.35">
      <c r="A67" s="18">
        <f>'Growth Analysis'!A67</f>
        <v>45373</v>
      </c>
      <c r="B67" s="30">
        <f>'Growth Analysis'!B67</f>
        <v>62</v>
      </c>
      <c r="C67" s="21">
        <f>'Raw Data'!E67/'Raw Data'!D67*100</f>
        <v>12.504563346895106</v>
      </c>
      <c r="D67" s="21">
        <f>'Raw Data'!F67/'Raw Data'!D67*100</f>
        <v>22.231352343802307</v>
      </c>
      <c r="E67" s="21">
        <f>'Raw Data'!J67/'Raw Data'!D67*100</f>
        <v>27.452592806756787</v>
      </c>
      <c r="F67" s="21">
        <f>'Raw Data'!M67/'Raw Data'!D67*100</f>
        <v>32.279061880186752</v>
      </c>
    </row>
    <row r="68" spans="1:6" ht="15" customHeight="1" x14ac:dyDescent="0.35">
      <c r="A68" s="18">
        <f>'Growth Analysis'!A68</f>
        <v>45401</v>
      </c>
      <c r="B68" s="30">
        <f>'Growth Analysis'!B68</f>
        <v>63</v>
      </c>
      <c r="C68" s="21">
        <f>'Raw Data'!E68/'Raw Data'!D68*100</f>
        <v>12.844626516783148</v>
      </c>
      <c r="D68" s="21">
        <f>'Raw Data'!F68/'Raw Data'!D68*100</f>
        <v>22.37923869886853</v>
      </c>
      <c r="E68" s="21">
        <f>'Raw Data'!J68/'Raw Data'!D68*100</f>
        <v>27.675170496423757</v>
      </c>
      <c r="F68" s="21">
        <f>'Raw Data'!M68/'Raw Data'!D68*100</f>
        <v>32.548273660366064</v>
      </c>
    </row>
    <row r="69" spans="1:6" ht="15" customHeight="1" x14ac:dyDescent="0.35">
      <c r="A69" s="18">
        <f>'Growth Analysis'!A69</f>
        <v>45443</v>
      </c>
      <c r="B69" s="30">
        <f>'Growth Analysis'!B69</f>
        <v>64</v>
      </c>
      <c r="C69" s="21">
        <f>'Raw Data'!E69/'Raw Data'!D69*100</f>
        <v>12.775131990884578</v>
      </c>
      <c r="D69" s="21">
        <f>'Raw Data'!F69/'Raw Data'!D69*100</f>
        <v>22.318508278033196</v>
      </c>
      <c r="E69" s="21">
        <f>'Raw Data'!J69/'Raw Data'!D69*100</f>
        <v>27.664346850178383</v>
      </c>
      <c r="F69" s="21">
        <f>'Raw Data'!M69/'Raw Data'!D69*100</f>
        <v>32.681224706988488</v>
      </c>
    </row>
    <row r="70" spans="1:6" ht="15" customHeight="1" x14ac:dyDescent="0.35">
      <c r="A70" s="18">
        <f>'Growth Analysis'!A70</f>
        <v>45471</v>
      </c>
      <c r="B70" s="30">
        <f>'Growth Analysis'!B70</f>
        <v>65</v>
      </c>
      <c r="C70" s="21">
        <f>'Raw Data'!E70/'Raw Data'!D70*100</f>
        <v>12.818748378004424</v>
      </c>
      <c r="D70" s="21">
        <f>'Raw Data'!F70/'Raw Data'!D70*100</f>
        <v>22.335971455469483</v>
      </c>
      <c r="E70" s="21">
        <f>'Raw Data'!J70/'Raw Data'!D70*100</f>
        <v>27.640251172487378</v>
      </c>
      <c r="F70" s="21">
        <f>'Raw Data'!M70/'Raw Data'!D70*100</f>
        <v>32.658269415355242</v>
      </c>
    </row>
    <row r="71" spans="1:6" ht="15" customHeight="1" x14ac:dyDescent="0.35">
      <c r="A71" s="18">
        <f>'Growth Analysis'!A71</f>
        <v>45499</v>
      </c>
      <c r="B71" s="30">
        <f>'Growth Analysis'!B71</f>
        <v>66</v>
      </c>
      <c r="C71" s="21">
        <f>'Raw Data'!E71/'Raw Data'!D71*100</f>
        <v>12.845481958030492</v>
      </c>
      <c r="D71" s="21">
        <f>'Raw Data'!F71/'Raw Data'!D71*100</f>
        <v>22.385485459823183</v>
      </c>
      <c r="E71" s="21">
        <f>'Raw Data'!J71/'Raw Data'!D71*100</f>
        <v>27.248667716068642</v>
      </c>
      <c r="F71" s="21">
        <f>'Raw Data'!M71/'Raw Data'!D71*100</f>
        <v>32.909043398582</v>
      </c>
    </row>
    <row r="72" spans="1:6" ht="15" customHeight="1" x14ac:dyDescent="0.35">
      <c r="A72" s="18">
        <f>'Growth Analysis'!A72</f>
        <v>45527</v>
      </c>
      <c r="B72" s="30">
        <f>'Growth Analysis'!B72</f>
        <v>67</v>
      </c>
      <c r="C72" s="21">
        <f>'Raw Data'!E72/'Raw Data'!D72*100</f>
        <v>12.769099228089697</v>
      </c>
      <c r="D72" s="21">
        <f>'Raw Data'!F72/'Raw Data'!D72*100</f>
        <v>22.398469155022905</v>
      </c>
      <c r="E72" s="21">
        <f>'Raw Data'!J72/'Raw Data'!D72*100</f>
        <v>27.144524325786502</v>
      </c>
      <c r="F72" s="21">
        <f>'Raw Data'!M72/'Raw Data'!D72*100</f>
        <v>32.931012090100445</v>
      </c>
    </row>
    <row r="73" spans="1:6" ht="15" customHeight="1" x14ac:dyDescent="0.35">
      <c r="A73" s="18">
        <f>'Growth Analysis'!A73</f>
        <v>45555</v>
      </c>
      <c r="B73" s="30">
        <f>'Growth Analysis'!B73</f>
        <v>68</v>
      </c>
      <c r="C73" s="21">
        <f>'Raw Data'!E73/'Raw Data'!D73*100</f>
        <v>12.670395986853636</v>
      </c>
      <c r="D73" s="21">
        <f>'Raw Data'!F73/'Raw Data'!D73*100</f>
        <v>22.432905775118019</v>
      </c>
      <c r="E73" s="21">
        <f>'Raw Data'!J73/'Raw Data'!D73*100</f>
        <v>27.386599575466221</v>
      </c>
      <c r="F73" s="21">
        <f>'Raw Data'!M73/'Raw Data'!D73*100</f>
        <v>32.818177554494589</v>
      </c>
    </row>
    <row r="74" spans="1:6" ht="15" customHeight="1" x14ac:dyDescent="0.35">
      <c r="A74" s="18">
        <f>'Growth Analysis'!A74</f>
        <v>45583</v>
      </c>
      <c r="B74" s="30">
        <f>'Growth Analysis'!B74</f>
        <v>69</v>
      </c>
      <c r="C74" s="21">
        <f>'Raw Data'!E74/'Raw Data'!D74*100</f>
        <v>12.683410722126501</v>
      </c>
      <c r="D74" s="21">
        <f>'Raw Data'!F74/'Raw Data'!D74*100</f>
        <v>21.922739936791295</v>
      </c>
      <c r="E74" s="21">
        <f>'Raw Data'!J74/'Raw Data'!D74*100</f>
        <v>27.196496237883483</v>
      </c>
      <c r="F74" s="21">
        <f>'Raw Data'!M74/'Raw Data'!D74*100</f>
        <v>32.576055247240625</v>
      </c>
    </row>
    <row r="75" spans="1:6" ht="15" customHeight="1" x14ac:dyDescent="0.35">
      <c r="A75" s="18">
        <f>'Growth Analysis'!A75</f>
        <v>45625</v>
      </c>
      <c r="B75" s="30">
        <f>'Growth Analysis'!B75</f>
        <v>70</v>
      </c>
      <c r="C75" s="21">
        <f>'Raw Data'!E75/'Raw Data'!D75*100</f>
        <v>12.736307688148187</v>
      </c>
      <c r="D75" s="21">
        <f>'Raw Data'!F75/'Raw Data'!D75*100</f>
        <v>22.059899636275151</v>
      </c>
      <c r="E75" s="21">
        <f>'Raw Data'!J75/'Raw Data'!D75*100</f>
        <v>27.485873026129099</v>
      </c>
      <c r="F75" s="21">
        <f>'Raw Data'!M75/'Raw Data'!D75*100</f>
        <v>32.94981560574238</v>
      </c>
    </row>
    <row r="76" spans="1:6" ht="15" customHeight="1" x14ac:dyDescent="0.35">
      <c r="A76" s="18">
        <f>'Growth Analysis'!A76</f>
        <v>45653</v>
      </c>
      <c r="B76" s="30">
        <f>'Growth Analysis'!B76</f>
        <v>71</v>
      </c>
      <c r="C76" s="21">
        <f>'Raw Data'!E76/'Raw Data'!D76*100</f>
        <v>12.659246416516215</v>
      </c>
      <c r="D76" s="21">
        <f>'Raw Data'!F76/'Raw Data'!D76*100</f>
        <v>22.013491836130697</v>
      </c>
      <c r="E76" s="21">
        <f>'Raw Data'!J76/'Raw Data'!D76*100</f>
        <v>27.736272311046719</v>
      </c>
      <c r="F76" s="21">
        <f>'Raw Data'!M76/'Raw Data'!D76*100</f>
        <v>32.864006218957961</v>
      </c>
    </row>
    <row r="77" spans="1:6" ht="15" customHeight="1" x14ac:dyDescent="0.35">
      <c r="A77" s="18">
        <f>'Growth Analysis'!A77</f>
        <v>45681</v>
      </c>
      <c r="B77" s="30">
        <f>'Growth Analysis'!B77</f>
        <v>72</v>
      </c>
      <c r="C77" s="21">
        <f>'Raw Data'!E77/'Raw Data'!D77*100</f>
        <v>12.651428096033149</v>
      </c>
      <c r="D77" s="21">
        <f>'Raw Data'!F77/'Raw Data'!D77*100</f>
        <v>21.973405711290731</v>
      </c>
      <c r="E77" s="21">
        <f>'Raw Data'!J77/'Raw Data'!D77*100</f>
        <v>27.825825439865842</v>
      </c>
      <c r="F77" s="21">
        <f>'Raw Data'!M77/'Raw Data'!D77*100</f>
        <v>32.838860940856826</v>
      </c>
    </row>
    <row r="78" spans="1:6" ht="15" customHeight="1" x14ac:dyDescent="0.35">
      <c r="A78" s="18">
        <f>'Growth Analysis'!A78</f>
        <v>45709</v>
      </c>
      <c r="B78" s="30">
        <f>'Growth Analysis'!B78</f>
        <v>73</v>
      </c>
      <c r="C78" s="21">
        <f>'Raw Data'!E78/'Raw Data'!D78*100</f>
        <v>12.521830499588891</v>
      </c>
      <c r="D78" s="21">
        <f>'Raw Data'!F78/'Raw Data'!D78*100</f>
        <v>21.660194192297901</v>
      </c>
      <c r="E78" s="21">
        <f>'Raw Data'!J78/'Raw Data'!D78*100</f>
        <v>27.626433892828729</v>
      </c>
      <c r="F78" s="21">
        <f>'Raw Data'!M78/'Raw Data'!D78*100</f>
        <v>32.62098691993824</v>
      </c>
    </row>
    <row r="79" spans="1:6" ht="15" customHeight="1" x14ac:dyDescent="0.35">
      <c r="A79" s="18">
        <f>'Growth Analysis'!A79</f>
        <v>45737</v>
      </c>
      <c r="B79" s="30">
        <f>'Growth Analysis'!B79</f>
        <v>74</v>
      </c>
      <c r="C79" s="21">
        <f>'Raw Data'!E79/'Raw Data'!D79*100</f>
        <v>12.448619646752979</v>
      </c>
      <c r="D79" s="21">
        <f>'Raw Data'!F79/'Raw Data'!D79*100</f>
        <v>21.694209003751787</v>
      </c>
      <c r="E79" s="21">
        <f>'Raw Data'!J79/'Raw Data'!D79*100</f>
        <v>27.724612354169825</v>
      </c>
      <c r="F79" s="21">
        <f>'Raw Data'!M79/'Raw Data'!D79*100</f>
        <v>32.504337686998724</v>
      </c>
    </row>
    <row r="80" spans="1:6" ht="15" customHeight="1" x14ac:dyDescent="0.35">
      <c r="A80" s="18">
        <f>'Growth Analysis'!A80</f>
        <v>45765</v>
      </c>
      <c r="B80" s="30">
        <f>'Growth Analysis'!B80</f>
        <v>75</v>
      </c>
      <c r="C80" s="21">
        <f>'Raw Data'!E80/'Raw Data'!D80*100</f>
        <v>12.673658839921167</v>
      </c>
      <c r="D80" s="21">
        <f>'Raw Data'!F80/'Raw Data'!D80*100</f>
        <v>21.641548256056989</v>
      </c>
      <c r="E80" s="21">
        <f>'Raw Data'!J80/'Raw Data'!D80*100</f>
        <v>27.553935241416134</v>
      </c>
      <c r="F80" s="21">
        <f>'Raw Data'!M80/'Raw Data'!D80*100</f>
        <v>32.921619082079879</v>
      </c>
    </row>
    <row r="81" spans="1:8" ht="15" customHeight="1" x14ac:dyDescent="0.35">
      <c r="A81" s="18">
        <f>'Growth Analysis'!A81</f>
        <v>45807</v>
      </c>
      <c r="B81" s="30">
        <f>'Growth Analysis'!B81</f>
        <v>76</v>
      </c>
      <c r="C81" s="21">
        <f>'Raw Data'!E81/'Raw Data'!D81*100</f>
        <v>12.619132925460658</v>
      </c>
      <c r="D81" s="21">
        <f>'Raw Data'!F81/'Raw Data'!D81*100</f>
        <v>21.593324907409624</v>
      </c>
      <c r="E81" s="21">
        <f>'Raw Data'!J81/'Raw Data'!D81*100</f>
        <v>27.560406742217459</v>
      </c>
      <c r="F81" s="21">
        <f>'Raw Data'!M81/'Raw Data'!D81*100</f>
        <v>33.376704180032533</v>
      </c>
    </row>
    <row r="82" spans="1:8" ht="15" customHeight="1" x14ac:dyDescent="0.35">
      <c r="A82" s="18">
        <f>'Growth Analysis'!A82</f>
        <v>45835</v>
      </c>
      <c r="B82" s="30">
        <f>'Growth Analysis'!B82</f>
        <v>77</v>
      </c>
      <c r="C82" s="21">
        <f>'Raw Data'!E82/'Raw Data'!D82*100</f>
        <v>12.517743163253602</v>
      </c>
      <c r="D82" s="21">
        <f>'Raw Data'!F82/'Raw Data'!D82*100</f>
        <v>21.720999151494929</v>
      </c>
      <c r="E82" s="21">
        <f>'Raw Data'!J82/'Raw Data'!D82*100</f>
        <v>27.506923059844656</v>
      </c>
      <c r="F82" s="21">
        <f>'Raw Data'!M82/'Raw Data'!D82*100</f>
        <v>33.358405386962225</v>
      </c>
    </row>
    <row r="83" spans="1:8" ht="15" customHeight="1" x14ac:dyDescent="0.35">
      <c r="A83" s="18">
        <f>'Growth Analysis'!A83</f>
        <v>45863</v>
      </c>
      <c r="B83" s="30">
        <f>'Growth Analysis'!B83</f>
        <v>78</v>
      </c>
      <c r="C83" s="21">
        <f>'Raw Data'!E83/'Raw Data'!D83*100</f>
        <v>12.544777760856329</v>
      </c>
      <c r="D83" s="21">
        <f>'Raw Data'!F83/'Raw Data'!D83*100</f>
        <v>21.698787993496019</v>
      </c>
      <c r="E83" s="21">
        <f>'Raw Data'!J83/'Raw Data'!D83*100</f>
        <v>27.327303670869625</v>
      </c>
      <c r="F83" s="21">
        <f>'Raw Data'!M83/'Raw Data'!D83*100</f>
        <v>33.505944769075434</v>
      </c>
    </row>
    <row r="84" spans="1:8" ht="15" customHeight="1" x14ac:dyDescent="0.35">
      <c r="A84" s="18">
        <f>'Growth Analysis'!A84</f>
        <v>45891</v>
      </c>
      <c r="B84" s="30">
        <f>'Growth Analysis'!B84</f>
        <v>79</v>
      </c>
      <c r="C84" s="21">
        <f>'Raw Data'!E84/'Raw Data'!D84*100</f>
        <v>12.502169050536521</v>
      </c>
      <c r="D84" s="21">
        <f>'Raw Data'!F84/'Raw Data'!D84*100</f>
        <v>21.812664871638084</v>
      </c>
      <c r="E84" s="21">
        <f>'Raw Data'!J84/'Raw Data'!D84*100</f>
        <v>27.237488094221028</v>
      </c>
      <c r="F84" s="21">
        <f>'Raw Data'!M84/'Raw Data'!D84*100</f>
        <v>33.518256061964507</v>
      </c>
    </row>
    <row r="85" spans="1:8" ht="15" customHeight="1" x14ac:dyDescent="0.35">
      <c r="A85" s="18">
        <f>'Growth Analysis'!A85</f>
        <v>45919</v>
      </c>
      <c r="B85" s="30">
        <f>'Growth Analysis'!B85</f>
        <v>80</v>
      </c>
      <c r="C85" s="21">
        <f>'Raw Data'!E85/'Raw Data'!D85*100</f>
        <v>12.523273406949839</v>
      </c>
      <c r="D85" s="21">
        <f>'Raw Data'!F85/'Raw Data'!D85*100</f>
        <v>21.933688017552107</v>
      </c>
      <c r="E85" s="21">
        <f>'Raw Data'!J85/'Raw Data'!D85*100</f>
        <v>27.279258801112533</v>
      </c>
      <c r="F85" s="21">
        <f>'Raw Data'!M85/'Raw Data'!D85*100</f>
        <v>33.268769860779877</v>
      </c>
    </row>
    <row r="86" spans="1:8" ht="15" customHeight="1" x14ac:dyDescent="0.35">
      <c r="A86" s="18">
        <f>'Growth Analysis'!A86</f>
        <v>45961</v>
      </c>
      <c r="B86" s="30">
        <f>'Growth Analysis'!B86</f>
        <v>81</v>
      </c>
      <c r="C86" s="21">
        <f>'Raw Data'!E86/'Raw Data'!D86*100</f>
        <v>12.435786917440984</v>
      </c>
      <c r="D86" s="21">
        <f>'Raw Data'!F86/'Raw Data'!D86*100</f>
        <v>21.701201530316954</v>
      </c>
      <c r="E86" s="21">
        <f>'Raw Data'!J86/'Raw Data'!D86*100</f>
        <v>27.666720889908785</v>
      </c>
      <c r="F86" s="21">
        <f>'Raw Data'!M86/'Raw Data'!D86*100</f>
        <v>33.415647486069503</v>
      </c>
    </row>
    <row r="87" spans="1:8" ht="15" customHeight="1" x14ac:dyDescent="0.35">
      <c r="A87" s="18">
        <f>'Growth Analysis'!A87</f>
        <v>45989</v>
      </c>
      <c r="B87" s="30">
        <f>'Growth Analysis'!B87</f>
        <v>82</v>
      </c>
      <c r="C87" s="21">
        <f>'Raw Data'!E87/'Raw Data'!D87*100</f>
        <v>12.428582098463634</v>
      </c>
      <c r="D87" s="21">
        <f>'Raw Data'!F87/'Raw Data'!D87*100</f>
        <v>21.696518255504319</v>
      </c>
      <c r="E87" s="21">
        <f>'Raw Data'!J87/'Raw Data'!D87*100</f>
        <v>27.559509869314887</v>
      </c>
      <c r="F87" s="21">
        <f>'Raw Data'!M87/'Raw Data'!D87*100</f>
        <v>33.353459232515789</v>
      </c>
    </row>
    <row r="88" spans="1:8" ht="15" customHeight="1" x14ac:dyDescent="0.35">
      <c r="A88" s="18">
        <f>'Growth Analysis'!A88</f>
        <v>46022</v>
      </c>
      <c r="B88" s="30">
        <f>'Growth Analysis'!B88</f>
        <v>83</v>
      </c>
      <c r="C88" s="21">
        <f>'Raw Data'!E88/'Raw Data'!D88*100</f>
        <v>12.400576566122027</v>
      </c>
      <c r="D88" s="21">
        <f>'Raw Data'!F88/'Raw Data'!D88*100</f>
        <v>21.699901972878852</v>
      </c>
      <c r="E88" s="21">
        <f>'Raw Data'!J88/'Raw Data'!D88*100</f>
        <v>27.978531535920006</v>
      </c>
      <c r="F88" s="21">
        <f>'Raw Data'!M88/'Raw Data'!D88*100</f>
        <v>32.933998032044506</v>
      </c>
    </row>
    <row r="89" spans="1:8" ht="15" customHeight="1" x14ac:dyDescent="0.35">
      <c r="A89" s="18">
        <f>'Growth Analysis'!A89</f>
        <v>46053</v>
      </c>
      <c r="B89" s="30">
        <f>'Growth Analysis'!B89</f>
        <v>84</v>
      </c>
      <c r="C89" s="21">
        <f>'Raw Data'!E89/'Raw Data'!D89*100</f>
        <v>12.311283936783207</v>
      </c>
      <c r="D89" s="21">
        <f>'Raw Data'!F89/'Raw Data'!D89*100</f>
        <v>21.52599512949385</v>
      </c>
      <c r="E89" s="21">
        <f>'Raw Data'!J89/'Raw Data'!D89*100</f>
        <v>28.07291621742236</v>
      </c>
      <c r="F89" s="21">
        <f>'Raw Data'!M89/'Raw Data'!D89*100</f>
        <v>32.978580661927694</v>
      </c>
    </row>
    <row r="90" spans="1:8" ht="15" customHeight="1" x14ac:dyDescent="0.35">
      <c r="A90" s="18">
        <f>'Growth Analysis'!A90</f>
        <v>46081</v>
      </c>
      <c r="B90" s="30">
        <f>'Growth Analysis'!B90</f>
        <v>85</v>
      </c>
      <c r="C90" s="21">
        <f>'Raw Data'!E90/'Raw Data'!D90*100</f>
        <v>12.304308120695957</v>
      </c>
      <c r="D90" s="21">
        <f>'Raw Data'!F90/'Raw Data'!D90*100</f>
        <v>21.513707668633959</v>
      </c>
      <c r="E90" s="21">
        <f>'Raw Data'!J90/'Raw Data'!D90*100</f>
        <v>28.095766580457283</v>
      </c>
      <c r="F90" s="21">
        <f>'Raw Data'!M90/'Raw Data'!D90*100</f>
        <v>32.880398230513705</v>
      </c>
    </row>
    <row r="91" spans="1:8" ht="15" customHeight="1" x14ac:dyDescent="0.35">
      <c r="A91" s="18">
        <f>'Growth Analysis'!A91</f>
        <v>46112</v>
      </c>
      <c r="B91" s="30">
        <f>'Growth Analysis'!B91</f>
        <v>86</v>
      </c>
      <c r="C91" s="21">
        <f>'Raw Data'!E91/'Raw Data'!D91*100</f>
        <v>12.419470592395845</v>
      </c>
      <c r="D91" s="21">
        <f>'Raw Data'!F91/'Raw Data'!D91*100</f>
        <v>21.531488265940173</v>
      </c>
      <c r="E91" s="21">
        <f>'Raw Data'!J91/'Raw Data'!D91*100</f>
        <v>28.469088114024377</v>
      </c>
      <c r="F91" s="21">
        <f>'Raw Data'!M91/'Raw Data'!D91*100</f>
        <v>32.594510332204067</v>
      </c>
    </row>
    <row r="92" spans="1:8" ht="15" customHeight="1" x14ac:dyDescent="0.35">
      <c r="A92" s="18">
        <f>'Growth Analysis'!A92</f>
        <v>46142</v>
      </c>
      <c r="B92" s="30">
        <f>'Growth Analysis'!B92</f>
        <v>87</v>
      </c>
      <c r="C92" s="21">
        <f>'Raw Data'!E92/'Raw Data'!D92*100</f>
        <v>12.44102150822629</v>
      </c>
      <c r="D92" s="21">
        <f>'Raw Data'!F92/'Raw Data'!D92*100</f>
        <v>21.497776656321573</v>
      </c>
      <c r="E92" s="21">
        <f>'Raw Data'!J92/'Raw Data'!D92*100</f>
        <v>28.209889777056752</v>
      </c>
      <c r="F92" s="21">
        <f>'Raw Data'!M92/'Raw Data'!D92*100</f>
        <v>32.975415381460856</v>
      </c>
    </row>
    <row r="93" spans="1:8" ht="15" customHeight="1" x14ac:dyDescent="0.35">
      <c r="A93" s="18">
        <f>'Growth Analysis'!A93</f>
        <v>46173</v>
      </c>
      <c r="B93" s="30">
        <f>'Growth Analysis'!B93</f>
        <v>88</v>
      </c>
      <c r="C93" s="21">
        <f>'Raw Data'!E93/'Raw Data'!D93*100</f>
        <v>12.355531089548435</v>
      </c>
      <c r="D93" s="21">
        <f>'Raw Data'!F93/'Raw Data'!D93*100</f>
        <v>21.628292894103225</v>
      </c>
      <c r="E93" s="21">
        <f>'Raw Data'!J93/'Raw Data'!D93*100</f>
        <v>28.276287121100129</v>
      </c>
      <c r="F93" s="21">
        <f>'Raw Data'!M93/'Raw Data'!D93*100</f>
        <v>32.812826869273842</v>
      </c>
    </row>
    <row r="94" spans="1:8" ht="15" customHeight="1" x14ac:dyDescent="0.35">
      <c r="A94" s="18">
        <f>'Growth Analysis'!A94</f>
        <v>46203</v>
      </c>
      <c r="B94" s="30">
        <f>'Growth Analysis'!B94</f>
        <v>89</v>
      </c>
      <c r="C94" s="21">
        <f>'Raw Data'!E94/'Raw Data'!D94*100</f>
        <v>12.359734930501629</v>
      </c>
      <c r="D94" s="21">
        <f>'Raw Data'!F94/'Raw Data'!D94*100</f>
        <v>21.89137431569489</v>
      </c>
      <c r="E94" s="21">
        <f>'Raw Data'!J94/'Raw Data'!D94*100</f>
        <v>28.229770434997885</v>
      </c>
      <c r="F94" s="21">
        <f>'Raw Data'!M94/'Raw Data'!D94*100</f>
        <v>32.636642337930851</v>
      </c>
    </row>
    <row r="96" spans="1:8" ht="15" customHeight="1" x14ac:dyDescent="0.35">
      <c r="A96" s="6" t="s">
        <v>12</v>
      </c>
      <c r="B96" s="6" t="s">
        <v>95</v>
      </c>
      <c r="C96" s="6" t="s">
        <v>96</v>
      </c>
      <c r="D96" s="6" t="s">
        <v>15</v>
      </c>
      <c r="E96" s="6" t="s">
        <v>97</v>
      </c>
      <c r="F96" s="6" t="s">
        <v>98</v>
      </c>
      <c r="G96" s="6" t="s">
        <v>71</v>
      </c>
      <c r="H96" s="6" t="s">
        <v>74</v>
      </c>
    </row>
    <row r="97" spans="1:8" ht="15" customHeight="1" x14ac:dyDescent="0.35">
      <c r="A97" s="7" t="s">
        <v>17</v>
      </c>
      <c r="B97" s="21">
        <f>AVERAGE(C5:C16)</f>
        <v>11.656904544406556</v>
      </c>
      <c r="C97" s="21">
        <f>AVERAGE(C83:C94)</f>
        <v>12.418876331543389</v>
      </c>
      <c r="D97" s="26">
        <f>C97-B97</f>
        <v>0.761971787136833</v>
      </c>
      <c r="E97" s="22">
        <f>SLOPE(C$5:C$94,$B$5:$B$94)*12</f>
        <v>0.11162477698818329</v>
      </c>
      <c r="F97" s="26">
        <f>SLOPE(C$5:C$94,$B$5:$B$94)/(STEYX(C$5:C$94,$B$5:$B$94)/SQRT(DEVSQ($B$5:$B$94)))</f>
        <v>7.1372464190697329</v>
      </c>
      <c r="G97" s="27">
        <f>TDIST(ABS(F97),90-2,2)</f>
        <v>2.5773167674892293E-10</v>
      </c>
      <c r="H97" s="7" t="str">
        <f>IF(G97&lt;0.05,"Significant structural drift","No significant trend")</f>
        <v>Significant structural drift</v>
      </c>
    </row>
    <row r="98" spans="1:8" ht="15" customHeight="1" x14ac:dyDescent="0.35">
      <c r="A98" s="7" t="s">
        <v>18</v>
      </c>
      <c r="B98" s="21">
        <f>AVERAGE(D5:D16)</f>
        <v>29.012891824149946</v>
      </c>
      <c r="C98" s="21">
        <f>AVERAGE(D83:D94)</f>
        <v>21.677616464297831</v>
      </c>
      <c r="D98" s="26">
        <f>C98-B98</f>
        <v>-7.3352753598521154</v>
      </c>
      <c r="E98" s="22">
        <f>SLOPE(D$5:D$94,$B$5:$B$94)*12</f>
        <v>-1.2602834001418555</v>
      </c>
      <c r="F98" s="26">
        <f>SLOPE(D$5:D$94,$B$5:$B$94)/(STEYX(D$5:D$94,$B$5:$B$94)/SQRT(DEVSQ($B$5:$B$94)))</f>
        <v>-41.56383151794634</v>
      </c>
      <c r="G98" s="27">
        <f>TDIST(ABS(F98),90-2,2)</f>
        <v>1.2585267108344359E-59</v>
      </c>
      <c r="H98" s="7" t="str">
        <f>IF(G98&lt;0.05,"Significant structural drift","No significant trend")</f>
        <v>Significant structural drift</v>
      </c>
    </row>
    <row r="99" spans="1:8" ht="15" customHeight="1" x14ac:dyDescent="0.35">
      <c r="A99" s="7" t="s">
        <v>19</v>
      </c>
      <c r="B99" s="21">
        <f>AVERAGE(E5:E16)</f>
        <v>24.024514949376435</v>
      </c>
      <c r="C99" s="21">
        <f>AVERAGE(E83:E94)</f>
        <v>27.866877592200471</v>
      </c>
      <c r="D99" s="26">
        <f>C99-B99</f>
        <v>3.8423626428240354</v>
      </c>
      <c r="E99" s="22">
        <f>SLOPE(E$5:E$94,$B$5:$B$94)*12</f>
        <v>0.55629984119198206</v>
      </c>
      <c r="F99" s="26">
        <f>SLOPE(E$5:E$94,$B$5:$B$94)/(STEYX(E$5:E$94,$B$5:$B$94)/SQRT(DEVSQ($B$5:$B$94)))</f>
        <v>21.75102208728585</v>
      </c>
      <c r="G99" s="27">
        <f>TDIST(ABS(F99),90-2,2)</f>
        <v>3.6630571024127952E-37</v>
      </c>
      <c r="H99" s="7" t="str">
        <f>IF(G99&lt;0.05,"Significant structural drift","No significant trend")</f>
        <v>Significant structural drift</v>
      </c>
    </row>
    <row r="100" spans="1:8" ht="15" customHeight="1" x14ac:dyDescent="0.35">
      <c r="A100" s="7" t="s">
        <v>20</v>
      </c>
      <c r="B100" s="21">
        <f>AVERAGE(F5:F16)</f>
        <v>24.812654082175751</v>
      </c>
      <c r="C100" s="21">
        <f>AVERAGE(F83:F94)</f>
        <v>33.072870771313383</v>
      </c>
      <c r="D100" s="26">
        <f>C100-B100</f>
        <v>8.2602166891376321</v>
      </c>
      <c r="E100" s="22">
        <f>SLOPE(F$5:F$94,$B$5:$B$94)*12</f>
        <v>1.3239732981229388</v>
      </c>
      <c r="F100" s="26">
        <f>SLOPE(F$5:F$94,$B$5:$B$94)/(STEYX(F$5:F$94,$B$5:$B$94)/SQRT(DEVSQ($B$5:$B$94)))</f>
        <v>34.930109663432098</v>
      </c>
      <c r="G100" s="27">
        <f>TDIST(ABS(F100),90-2,2)</f>
        <v>2.3339560919951977E-53</v>
      </c>
      <c r="H100" s="7" t="str">
        <f>IF(G100&lt;0.05,"Significant structural drift","No significant trend")</f>
        <v>Significant structural drift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zoomScaleNormal="100" workbookViewId="0">
      <selection activeCell="A22" sqref="A22:F26"/>
    </sheetView>
  </sheetViews>
  <sheetFormatPr defaultColWidth="8.6328125" defaultRowHeight="14.5" x14ac:dyDescent="0.35"/>
  <cols>
    <col min="1" max="1" width="42" style="3" customWidth="1"/>
    <col min="2" max="3" width="16" style="3" customWidth="1"/>
    <col min="4" max="4" width="14" style="3" customWidth="1"/>
    <col min="5" max="5" width="16" style="3" customWidth="1"/>
    <col min="6" max="6" width="10" style="3" customWidth="1"/>
  </cols>
  <sheetData>
    <row r="1" spans="1:6" ht="19.5" customHeight="1" x14ac:dyDescent="0.4">
      <c r="A1" s="2" t="s">
        <v>0</v>
      </c>
      <c r="B1" s="2"/>
      <c r="C1" s="2"/>
      <c r="D1" s="2"/>
      <c r="E1" s="2"/>
      <c r="F1" s="2"/>
    </row>
    <row r="3" spans="1:6" ht="15" customHeight="1" x14ac:dyDescent="0.35">
      <c r="A3" s="4" t="s">
        <v>100</v>
      </c>
    </row>
    <row r="4" spans="1:6" ht="15" customHeight="1" x14ac:dyDescent="0.35">
      <c r="A4" s="6" t="s">
        <v>1</v>
      </c>
      <c r="B4" s="6" t="s">
        <v>2</v>
      </c>
    </row>
    <row r="5" spans="1:6" ht="15" customHeight="1" x14ac:dyDescent="0.35">
      <c r="A5" s="7" t="s">
        <v>3</v>
      </c>
      <c r="B5" s="8">
        <f>'Stationarity ADF'!B105</f>
        <v>1.9518797223249686</v>
      </c>
    </row>
    <row r="6" spans="1:6" ht="15" customHeight="1" x14ac:dyDescent="0.35">
      <c r="A6" s="7" t="s">
        <v>4</v>
      </c>
      <c r="B6" s="8">
        <f>'Stationarity ADF'!C105</f>
        <v>-10.060730588868434</v>
      </c>
    </row>
    <row r="7" spans="1:6" ht="15" customHeight="1" x14ac:dyDescent="0.35">
      <c r="A7" s="7" t="s">
        <v>5</v>
      </c>
      <c r="B7" s="9">
        <f ca="1">'Chow Test'!G10</f>
        <v>59.018423186009308</v>
      </c>
    </row>
    <row r="8" spans="1:6" ht="15" customHeight="1" x14ac:dyDescent="0.35">
      <c r="A8" s="7" t="s">
        <v>6</v>
      </c>
      <c r="B8" s="10">
        <f ca="1">'Chow Test'!H10</f>
        <v>7.3445214076935639E-17</v>
      </c>
    </row>
    <row r="9" spans="1:6" ht="15" customHeight="1" x14ac:dyDescent="0.35">
      <c r="A9" s="7" t="s">
        <v>7</v>
      </c>
      <c r="B9" s="9">
        <f ca="1">'Chow Test'!G11</f>
        <v>195.63253523288603</v>
      </c>
    </row>
    <row r="10" spans="1:6" ht="15" customHeight="1" x14ac:dyDescent="0.35">
      <c r="A10" s="7" t="s">
        <v>8</v>
      </c>
      <c r="B10" s="9">
        <f ca="1">'Chow Test'!G12</f>
        <v>93.315035667890726</v>
      </c>
    </row>
    <row r="11" spans="1:6" ht="15" customHeight="1" x14ac:dyDescent="0.35">
      <c r="A11" s="7" t="s">
        <v>9</v>
      </c>
      <c r="B11" s="11">
        <f ca="1">'Breakpoint Scan'!B71</f>
        <v>44561</v>
      </c>
    </row>
    <row r="12" spans="1:6" ht="15" customHeight="1" x14ac:dyDescent="0.35">
      <c r="A12" s="7" t="s">
        <v>10</v>
      </c>
      <c r="B12" s="8">
        <f ca="1">'Breakpoint Scan'!B73</f>
        <v>0.48987926250127845</v>
      </c>
    </row>
    <row r="13" spans="1:6" ht="15" customHeight="1" x14ac:dyDescent="0.35">
      <c r="A13" s="7" t="s">
        <v>11</v>
      </c>
      <c r="B13" s="8">
        <f ca="1">'Breakpoint Scan'!B74</f>
        <v>1.1710310758690321</v>
      </c>
    </row>
    <row r="15" spans="1:6" ht="15" customHeight="1" x14ac:dyDescent="0.35">
      <c r="A15" s="4" t="s">
        <v>101</v>
      </c>
    </row>
    <row r="16" spans="1:6" ht="15" customHeight="1" x14ac:dyDescent="0.35">
      <c r="A16" s="6" t="s">
        <v>12</v>
      </c>
      <c r="B16" s="6" t="s">
        <v>13</v>
      </c>
      <c r="C16" s="6" t="s">
        <v>14</v>
      </c>
      <c r="D16" s="6" t="s">
        <v>15</v>
      </c>
      <c r="E16" s="6" t="s">
        <v>16</v>
      </c>
    </row>
    <row r="17" spans="1:6" ht="15" customHeight="1" x14ac:dyDescent="0.35">
      <c r="A17" s="7" t="s">
        <v>17</v>
      </c>
      <c r="B17" s="12">
        <f>'Sector Composition'!B97</f>
        <v>11.656904544406556</v>
      </c>
      <c r="C17" s="12">
        <f>'Sector Composition'!C97</f>
        <v>12.418876331543389</v>
      </c>
      <c r="D17" s="9">
        <f>'Sector Composition'!D97</f>
        <v>0.761971787136833</v>
      </c>
      <c r="E17" s="13">
        <f>'Sector Composition'!G97</f>
        <v>2.5773167674892293E-10</v>
      </c>
    </row>
    <row r="18" spans="1:6" ht="15" customHeight="1" x14ac:dyDescent="0.35">
      <c r="A18" s="7" t="s">
        <v>18</v>
      </c>
      <c r="B18" s="12">
        <f>'Sector Composition'!B98</f>
        <v>29.012891824149946</v>
      </c>
      <c r="C18" s="12">
        <f>'Sector Composition'!C98</f>
        <v>21.677616464297831</v>
      </c>
      <c r="D18" s="9">
        <f>'Sector Composition'!D98</f>
        <v>-7.3352753598521154</v>
      </c>
      <c r="E18" s="13">
        <f>'Sector Composition'!G98</f>
        <v>1.2585267108344359E-59</v>
      </c>
    </row>
    <row r="19" spans="1:6" ht="15" customHeight="1" x14ac:dyDescent="0.35">
      <c r="A19" s="7" t="s">
        <v>19</v>
      </c>
      <c r="B19" s="12">
        <f>'Sector Composition'!B99</f>
        <v>24.024514949376435</v>
      </c>
      <c r="C19" s="12">
        <f>'Sector Composition'!C99</f>
        <v>27.866877592200471</v>
      </c>
      <c r="D19" s="9">
        <f>'Sector Composition'!D99</f>
        <v>3.8423626428240354</v>
      </c>
      <c r="E19" s="13">
        <f>'Sector Composition'!G99</f>
        <v>3.6630571024127952E-37</v>
      </c>
    </row>
    <row r="20" spans="1:6" ht="15" customHeight="1" x14ac:dyDescent="0.35">
      <c r="A20" s="7" t="s">
        <v>20</v>
      </c>
      <c r="B20" s="12">
        <f>'Sector Composition'!B100</f>
        <v>24.812654082175751</v>
      </c>
      <c r="C20" s="12">
        <f>'Sector Composition'!C100</f>
        <v>33.072870771313383</v>
      </c>
      <c r="D20" s="9">
        <f>'Sector Composition'!D100</f>
        <v>8.2602166891376321</v>
      </c>
      <c r="E20" s="13">
        <f>'Sector Composition'!G100</f>
        <v>2.3339560919951977E-53</v>
      </c>
    </row>
    <row r="22" spans="1:6" ht="15" customHeight="1" x14ac:dyDescent="0.35">
      <c r="A22" s="4"/>
    </row>
    <row r="23" spans="1:6" ht="129.75" customHeight="1" x14ac:dyDescent="0.35">
      <c r="A23" s="1"/>
      <c r="B23" s="1"/>
      <c r="C23" s="1"/>
      <c r="D23" s="1"/>
      <c r="E23" s="1"/>
      <c r="F23" s="1"/>
    </row>
    <row r="24" spans="1:6" ht="15" customHeight="1" x14ac:dyDescent="0.35">
      <c r="A24" s="1"/>
      <c r="B24" s="1"/>
      <c r="C24" s="1"/>
      <c r="D24" s="1"/>
      <c r="E24" s="1"/>
      <c r="F24" s="1"/>
    </row>
    <row r="25" spans="1:6" ht="15" customHeight="1" x14ac:dyDescent="0.35">
      <c r="A25" s="1"/>
      <c r="B25" s="1"/>
      <c r="C25" s="1"/>
      <c r="D25" s="1"/>
      <c r="E25" s="1"/>
      <c r="F25" s="1"/>
    </row>
    <row r="27" spans="1:6" ht="15" customHeight="1" x14ac:dyDescent="0.35">
      <c r="A27" s="4"/>
    </row>
    <row r="28" spans="1:6" ht="30" customHeight="1" x14ac:dyDescent="0.35">
      <c r="A28" s="1"/>
      <c r="B28" s="1"/>
      <c r="C28" s="1"/>
      <c r="D28" s="1"/>
      <c r="E28" s="1"/>
      <c r="F28" s="1"/>
    </row>
    <row r="29" spans="1:6" ht="30" customHeight="1" x14ac:dyDescent="0.35">
      <c r="A29" s="1"/>
      <c r="B29" s="1"/>
      <c r="C29" s="1"/>
      <c r="D29" s="1"/>
      <c r="E29" s="1"/>
      <c r="F29" s="1"/>
    </row>
    <row r="30" spans="1:6" ht="30" customHeight="1" x14ac:dyDescent="0.35">
      <c r="A30" s="1"/>
      <c r="B30" s="1"/>
      <c r="C30" s="1"/>
      <c r="D30" s="1"/>
      <c r="E30" s="1"/>
      <c r="F30" s="1"/>
    </row>
    <row r="31" spans="1:6" ht="30" customHeight="1" x14ac:dyDescent="0.35">
      <c r="A31" s="1"/>
      <c r="B31" s="1"/>
      <c r="C31" s="1"/>
      <c r="D31" s="1"/>
      <c r="E31" s="1"/>
      <c r="F31" s="1"/>
    </row>
    <row r="32" spans="1:6" ht="30" customHeight="1" x14ac:dyDescent="0.35">
      <c r="A32" s="1"/>
      <c r="B32" s="1"/>
      <c r="C32" s="1"/>
      <c r="D32" s="1"/>
      <c r="E32" s="1"/>
      <c r="F32" s="1"/>
    </row>
  </sheetData>
  <mergeCells count="7">
    <mergeCell ref="A29:F29"/>
    <mergeCell ref="A30:F30"/>
    <mergeCell ref="A31:F31"/>
    <mergeCell ref="A32:F32"/>
    <mergeCell ref="A23:F25"/>
    <mergeCell ref="A28:F28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Stationarity ADF</vt:lpstr>
      <vt:lpstr>Raw Data</vt:lpstr>
      <vt:lpstr>Growth Analysis</vt:lpstr>
      <vt:lpstr>Chow Test</vt:lpstr>
      <vt:lpstr>Breakpoint Scan</vt:lpstr>
      <vt:lpstr>Sector Composition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Pushp jain</cp:lastModifiedBy>
  <cp:revision>8</cp:revision>
  <dcterms:created xsi:type="dcterms:W3CDTF">2026-09-10T03:16:42Z</dcterms:created>
  <dcterms:modified xsi:type="dcterms:W3CDTF">2026-09-10T14:01:48Z</dcterms:modified>
  <dc:language>en-US</dc:language>
</cp:coreProperties>
</file>